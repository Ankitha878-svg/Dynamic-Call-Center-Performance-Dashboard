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  <Override PartName="/xl/richData/rdrichvaluestructure.xml" ContentType="application/vnd.ms-excel.rdrichvaluestruc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PI\Documents\EXCEL\"/>
    </mc:Choice>
  </mc:AlternateContent>
  <bookViews>
    <workbookView xWindow="0" yWindow="0" windowWidth="19200" windowHeight="6930"/>
  </bookViews>
  <sheets>
    <sheet name="Data" sheetId="2" r:id="rId1"/>
  </sheets>
  <definedNames>
    <definedName name="_xlnm._FilterDatabase" localSheetId="0" hidden="1">Data!$B$3:$H$1003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K4" i="2" a="1"/>
  <c r="K4" i="2" s="1"/>
  <c r="K5" i="2" a="1"/>
  <c r="K5" i="2"/>
  <c r="K6" i="2" a="1"/>
  <c r="K6" i="2" s="1"/>
  <c r="K7" i="2" a="1"/>
  <c r="K7" i="2" s="1"/>
  <c r="K8" i="2" a="1"/>
  <c r="K8" i="2" s="1"/>
  <c r="K9" i="2" a="1"/>
  <c r="K9" i="2" s="1"/>
  <c r="K10" i="2" a="1"/>
  <c r="K10" i="2"/>
  <c r="K11" i="2" a="1"/>
  <c r="K11" i="2" s="1"/>
  <c r="K12" i="2" a="1"/>
  <c r="K12" i="2" s="1"/>
  <c r="K13" i="2" a="1"/>
  <c r="K13" i="2" s="1"/>
  <c r="K14" i="2" a="1"/>
  <c r="K14" i="2" s="1"/>
  <c r="K15" i="2" a="1"/>
  <c r="K15" i="2" s="1"/>
  <c r="K16" i="2" a="1"/>
  <c r="K16" i="2"/>
  <c r="K17" i="2" a="1"/>
  <c r="K17" i="2" s="1"/>
  <c r="K18" i="2" a="1"/>
  <c r="K18" i="2" s="1"/>
  <c r="K19" i="2" a="1"/>
  <c r="K19" i="2" s="1"/>
  <c r="K20" i="2" a="1"/>
  <c r="K20" i="2" s="1"/>
  <c r="K21" i="2" a="1"/>
  <c r="K21" i="2" s="1"/>
  <c r="K22" i="2" a="1"/>
  <c r="K22" i="2" s="1"/>
  <c r="K23" i="2" a="1"/>
  <c r="K23" i="2" s="1"/>
  <c r="K24" i="2" a="1"/>
  <c r="K24" i="2" s="1"/>
  <c r="K25" i="2" a="1"/>
  <c r="K25" i="2" s="1"/>
  <c r="K26" i="2" a="1"/>
  <c r="K26" i="2" s="1"/>
  <c r="K27" i="2" a="1"/>
  <c r="K27" i="2" s="1"/>
  <c r="K28" i="2" a="1"/>
  <c r="K28" i="2" s="1"/>
  <c r="K29" i="2" a="1"/>
  <c r="K29" i="2"/>
  <c r="K30" i="2" a="1"/>
  <c r="K30" i="2" s="1"/>
  <c r="K31" i="2" a="1"/>
  <c r="K31" i="2"/>
  <c r="K32" i="2" a="1"/>
  <c r="K32" i="2" s="1"/>
  <c r="K33" i="2" a="1"/>
  <c r="K33" i="2" s="1"/>
  <c r="K34" i="2" a="1"/>
  <c r="K34" i="2"/>
  <c r="K35" i="2" a="1"/>
  <c r="K35" i="2"/>
  <c r="K36" i="2" a="1"/>
  <c r="K36" i="2" s="1"/>
  <c r="K37" i="2" a="1"/>
  <c r="K37" i="2" s="1"/>
  <c r="K38" i="2" a="1"/>
  <c r="K38" i="2" s="1"/>
  <c r="K39" i="2" a="1"/>
  <c r="K39" i="2" s="1"/>
  <c r="K40" i="2" a="1"/>
  <c r="K40" i="2"/>
  <c r="K41" i="2" a="1"/>
  <c r="K41" i="2"/>
  <c r="K42" i="2" a="1"/>
  <c r="K42" i="2" s="1"/>
  <c r="K43" i="2" a="1"/>
  <c r="K43" i="2" s="1"/>
  <c r="K44" i="2" a="1"/>
  <c r="K44" i="2" s="1"/>
  <c r="K45" i="2" a="1"/>
  <c r="K45" i="2" s="1"/>
  <c r="K46" i="2" a="1"/>
  <c r="K46" i="2"/>
  <c r="K47" i="2" a="1"/>
  <c r="K47" i="2" s="1"/>
  <c r="K48" i="2" a="1"/>
  <c r="K48" i="2" s="1"/>
  <c r="K49" i="2" a="1"/>
  <c r="K49" i="2" s="1"/>
  <c r="K50" i="2" a="1"/>
  <c r="K50" i="2" s="1"/>
  <c r="K51" i="2" a="1"/>
  <c r="K51" i="2" s="1"/>
  <c r="K52" i="2" a="1"/>
  <c r="K52" i="2"/>
  <c r="K53" i="2" a="1"/>
  <c r="K53" i="2" s="1"/>
  <c r="K54" i="2" a="1"/>
  <c r="K54" i="2" s="1"/>
  <c r="K55" i="2" a="1"/>
  <c r="K55" i="2" s="1"/>
  <c r="K56" i="2" a="1"/>
  <c r="K56" i="2" s="1"/>
  <c r="K57" i="2" a="1"/>
  <c r="K57" i="2" s="1"/>
  <c r="K58" i="2" a="1"/>
  <c r="K58" i="2" s="1"/>
  <c r="K59" i="2" a="1"/>
  <c r="K59" i="2"/>
  <c r="K60" i="2" a="1"/>
  <c r="K60" i="2" s="1"/>
  <c r="K61" i="2" a="1"/>
  <c r="K61" i="2" s="1"/>
  <c r="K62" i="2" a="1"/>
  <c r="K62" i="2" s="1"/>
  <c r="K63" i="2" a="1"/>
  <c r="K63" i="2" s="1"/>
  <c r="K64" i="2" a="1"/>
  <c r="K64" i="2" s="1"/>
  <c r="K65" i="2" a="1"/>
  <c r="K65" i="2"/>
  <c r="K66" i="2" a="1"/>
  <c r="K66" i="2" s="1"/>
  <c r="K67" i="2" a="1"/>
  <c r="K67" i="2"/>
  <c r="K68" i="2" a="1"/>
  <c r="K68" i="2" s="1"/>
  <c r="K69" i="2" a="1"/>
  <c r="K69" i="2" s="1"/>
  <c r="K70" i="2" a="1"/>
  <c r="K70" i="2" s="1"/>
  <c r="K71" i="2" a="1"/>
  <c r="K71" i="2" s="1"/>
  <c r="K72" i="2" a="1"/>
  <c r="K72" i="2" s="1"/>
  <c r="K73" i="2" a="1"/>
  <c r="K73" i="2" s="1"/>
  <c r="K74" i="2" a="1"/>
  <c r="K74" i="2"/>
  <c r="K75" i="2" a="1"/>
  <c r="K75" i="2" s="1"/>
  <c r="K76" i="2" a="1"/>
  <c r="K76" i="2"/>
  <c r="K77" i="2" a="1"/>
  <c r="K77" i="2"/>
  <c r="K78" i="2" a="1"/>
  <c r="K78" i="2" s="1"/>
  <c r="K79" i="2" a="1"/>
  <c r="K79" i="2" s="1"/>
  <c r="K80" i="2" a="1"/>
  <c r="K80" i="2" s="1"/>
  <c r="K81" i="2" a="1"/>
  <c r="K81" i="2" s="1"/>
  <c r="K82" i="2" a="1"/>
  <c r="K82" i="2" s="1"/>
  <c r="K83" i="2" a="1"/>
  <c r="K83" i="2"/>
  <c r="K84" i="2" a="1"/>
  <c r="K84" i="2" s="1"/>
  <c r="K85" i="2" a="1"/>
  <c r="K85" i="2"/>
  <c r="K86" i="2" a="1"/>
  <c r="K86" i="2" s="1"/>
  <c r="K87" i="2" a="1"/>
  <c r="K87" i="2" s="1"/>
  <c r="K88" i="2" a="1"/>
  <c r="K88" i="2" s="1"/>
  <c r="K89" i="2" a="1"/>
  <c r="K89" i="2"/>
  <c r="K90" i="2" a="1"/>
  <c r="K90" i="2" s="1"/>
  <c r="K91" i="2" a="1"/>
  <c r="K91" i="2" s="1"/>
  <c r="K92" i="2" a="1"/>
  <c r="K92" i="2" s="1"/>
  <c r="K93" i="2" a="1"/>
  <c r="K93" i="2" s="1"/>
  <c r="K94" i="2" a="1"/>
  <c r="K94" i="2"/>
  <c r="K95" i="2" a="1"/>
  <c r="K95" i="2"/>
  <c r="K96" i="2" a="1"/>
  <c r="K96" i="2" s="1"/>
  <c r="K97" i="2" a="1"/>
  <c r="K97" i="2" s="1"/>
  <c r="K98" i="2" a="1"/>
  <c r="K98" i="2" s="1"/>
  <c r="K99" i="2" a="1"/>
  <c r="K99" i="2" s="1"/>
  <c r="K100" i="2" a="1"/>
  <c r="K100" i="2"/>
  <c r="K101" i="2" a="1"/>
  <c r="K101" i="2" s="1"/>
  <c r="K102" i="2" a="1"/>
  <c r="K102" i="2" s="1"/>
  <c r="K103" i="2" a="1"/>
  <c r="K103" i="2"/>
  <c r="K104" i="2" a="1"/>
  <c r="K104" i="2" s="1"/>
  <c r="K105" i="2" a="1"/>
  <c r="K105" i="2" s="1"/>
  <c r="K106" i="2" a="1"/>
  <c r="K106" i="2"/>
  <c r="K107" i="2" a="1"/>
  <c r="K107" i="2" s="1"/>
  <c r="K108" i="2" a="1"/>
  <c r="K108" i="2" s="1"/>
  <c r="K109" i="2" a="1"/>
  <c r="K109" i="2" s="1"/>
  <c r="K110" i="2" a="1"/>
  <c r="K110" i="2" s="1"/>
  <c r="K111" i="2" a="1"/>
  <c r="K111" i="2" s="1"/>
  <c r="K112" i="2" a="1"/>
  <c r="K112" i="2" s="1"/>
  <c r="K113" i="2" a="1"/>
  <c r="K113" i="2"/>
  <c r="K114" i="2" a="1"/>
  <c r="K114" i="2" s="1"/>
  <c r="K115" i="2" a="1"/>
  <c r="K115" i="2" s="1"/>
  <c r="K116" i="2" a="1"/>
  <c r="K116" i="2" s="1"/>
  <c r="K117" i="2" a="1"/>
  <c r="K117" i="2" s="1"/>
  <c r="K118" i="2" a="1"/>
  <c r="K118" i="2"/>
  <c r="K119" i="2" a="1"/>
  <c r="K119" i="2" s="1"/>
  <c r="K120" i="2" a="1"/>
  <c r="K120" i="2" s="1"/>
  <c r="K121" i="2" a="1"/>
  <c r="K121" i="2" s="1"/>
  <c r="K122" i="2" a="1"/>
  <c r="K122" i="2" s="1"/>
  <c r="K123" i="2" a="1"/>
  <c r="K123" i="2" s="1"/>
  <c r="K124" i="2" a="1"/>
  <c r="K124" i="2"/>
  <c r="K125" i="2" a="1"/>
  <c r="K125" i="2" s="1"/>
  <c r="K126" i="2" a="1"/>
  <c r="K126" i="2" s="1"/>
  <c r="K127" i="2" a="1"/>
  <c r="K127" i="2" s="1"/>
  <c r="K128" i="2" a="1"/>
  <c r="K128" i="2"/>
  <c r="K129" i="2" a="1"/>
  <c r="K129" i="2" s="1"/>
  <c r="K130" i="2" a="1"/>
  <c r="K130" i="2"/>
  <c r="K131" i="2" a="1"/>
  <c r="K131" i="2" s="1"/>
  <c r="K132" i="2" a="1"/>
  <c r="K132" i="2" s="1"/>
  <c r="K133" i="2" a="1"/>
  <c r="K133" i="2" s="1"/>
  <c r="K134" i="2" a="1"/>
  <c r="K134" i="2" s="1"/>
  <c r="K135" i="2" a="1"/>
  <c r="K135" i="2" s="1"/>
  <c r="K136" i="2" a="1"/>
  <c r="K136" i="2" s="1"/>
  <c r="K137" i="2" a="1"/>
  <c r="K137" i="2"/>
  <c r="K138" i="2" a="1"/>
  <c r="K138" i="2" s="1"/>
  <c r="K139" i="2" a="1"/>
  <c r="K139" i="2"/>
  <c r="K140" i="2" a="1"/>
  <c r="K140" i="2" s="1"/>
  <c r="K141" i="2" a="1"/>
  <c r="K141" i="2" s="1"/>
  <c r="K142" i="2" a="1"/>
  <c r="K142" i="2" s="1"/>
  <c r="K143" i="2" a="1"/>
  <c r="K143" i="2"/>
  <c r="K144" i="2" a="1"/>
  <c r="K144" i="2" s="1"/>
  <c r="K145" i="2" a="1"/>
  <c r="K145" i="2" s="1"/>
  <c r="K146" i="2" a="1"/>
  <c r="K146" i="2" s="1"/>
  <c r="K147" i="2" a="1"/>
  <c r="K147" i="2" s="1"/>
  <c r="K148" i="2" a="1"/>
  <c r="K148" i="2" s="1"/>
  <c r="K149" i="2" a="1"/>
  <c r="K149" i="2"/>
  <c r="K150" i="2" a="1"/>
  <c r="K150" i="2" s="1"/>
  <c r="K151" i="2" a="1"/>
  <c r="K151" i="2" s="1"/>
  <c r="K152" i="2" a="1"/>
  <c r="K152" i="2" s="1"/>
  <c r="K153" i="2" a="1"/>
  <c r="K153" i="2" s="1"/>
  <c r="K154" i="2" a="1"/>
  <c r="K154" i="2" s="1"/>
  <c r="K155" i="2" a="1"/>
  <c r="K155" i="2" s="1"/>
  <c r="K156" i="2" a="1"/>
  <c r="K156" i="2" s="1"/>
  <c r="K157" i="2" a="1"/>
  <c r="K157" i="2" s="1"/>
  <c r="K158" i="2" a="1"/>
  <c r="K158" i="2" s="1"/>
  <c r="K159" i="2" a="1"/>
  <c r="K159" i="2" s="1"/>
  <c r="K160" i="2" a="1"/>
  <c r="K160" i="2"/>
  <c r="K161" i="2" a="1"/>
  <c r="K161" i="2" s="1"/>
  <c r="K162" i="2" a="1"/>
  <c r="K162" i="2" s="1"/>
  <c r="K163" i="2" a="1"/>
  <c r="K163" i="2" s="1"/>
  <c r="K164" i="2" a="1"/>
  <c r="K164" i="2" s="1"/>
  <c r="K165" i="2" a="1"/>
  <c r="K165" i="2" s="1"/>
  <c r="K166" i="2" a="1"/>
  <c r="K166" i="2" s="1"/>
  <c r="K167" i="2" a="1"/>
  <c r="K167" i="2"/>
  <c r="K168" i="2" a="1"/>
  <c r="K168" i="2" s="1"/>
  <c r="K169" i="2" a="1"/>
  <c r="K169" i="2" s="1"/>
  <c r="K170" i="2" a="1"/>
  <c r="K170" i="2" s="1"/>
  <c r="K171" i="2" a="1"/>
  <c r="K171" i="2" s="1"/>
  <c r="K172" i="2" a="1"/>
  <c r="K172" i="2" s="1"/>
  <c r="K173" i="2" a="1"/>
  <c r="K173" i="2" s="1"/>
  <c r="K174" i="2" a="1"/>
  <c r="K174" i="2" s="1"/>
  <c r="K175" i="2" a="1"/>
  <c r="K175" i="2" s="1"/>
  <c r="K176" i="2" a="1"/>
  <c r="K176" i="2" s="1"/>
  <c r="K177" i="2" a="1"/>
  <c r="K177" i="2" s="1"/>
  <c r="K178" i="2" a="1"/>
  <c r="K178" i="2"/>
  <c r="K179" i="2" a="1"/>
  <c r="K179" i="2" s="1"/>
  <c r="K180" i="2" a="1"/>
  <c r="K180" i="2" s="1"/>
  <c r="K181" i="2" a="1"/>
  <c r="K181" i="2" s="1"/>
  <c r="K182" i="2" a="1"/>
  <c r="K182" i="2"/>
  <c r="K183" i="2" a="1"/>
  <c r="K183" i="2" s="1"/>
  <c r="K184" i="2" a="1"/>
  <c r="K184" i="2" s="1"/>
  <c r="K185" i="2" a="1"/>
  <c r="K185" i="2"/>
  <c r="K186" i="2" a="1"/>
  <c r="K186" i="2" s="1"/>
  <c r="K187" i="2" a="1"/>
  <c r="K187" i="2" s="1"/>
  <c r="K188" i="2" a="1"/>
  <c r="K188" i="2" s="1"/>
  <c r="K189" i="2" a="1"/>
  <c r="K189" i="2" s="1"/>
  <c r="K190" i="2" a="1"/>
  <c r="K190" i="2" s="1"/>
  <c r="K191" i="2" a="1"/>
  <c r="K191" i="2"/>
  <c r="K192" i="2" a="1"/>
  <c r="K192" i="2" s="1"/>
  <c r="K193" i="2" a="1"/>
  <c r="K193" i="2"/>
  <c r="K194" i="2" a="1"/>
  <c r="K194" i="2" s="1"/>
  <c r="K195" i="2" a="1"/>
  <c r="K195" i="2" s="1"/>
  <c r="K196" i="2" a="1"/>
  <c r="K196" i="2" s="1"/>
  <c r="K197" i="2" a="1"/>
  <c r="K197" i="2" s="1"/>
  <c r="K198" i="2" a="1"/>
  <c r="K198" i="2" s="1"/>
  <c r="K199" i="2" a="1"/>
  <c r="K199" i="2" s="1"/>
  <c r="K200" i="2" a="1"/>
  <c r="K200" i="2"/>
  <c r="K201" i="2" a="1"/>
  <c r="K201" i="2" s="1"/>
  <c r="K202" i="2" a="1"/>
  <c r="K202" i="2" s="1"/>
  <c r="K203" i="2" a="1"/>
  <c r="K203" i="2" s="1"/>
  <c r="K204" i="2" a="1"/>
  <c r="K204" i="2" s="1"/>
  <c r="K205" i="2" a="1"/>
  <c r="K205" i="2" s="1"/>
  <c r="K206" i="2" a="1"/>
  <c r="K206" i="2" s="1"/>
  <c r="K207" i="2" a="1"/>
  <c r="K207" i="2" s="1"/>
  <c r="K208" i="2" a="1"/>
  <c r="K208" i="2" s="1"/>
  <c r="K209" i="2" a="1"/>
  <c r="K209" i="2" s="1"/>
  <c r="K210" i="2" a="1"/>
  <c r="K210" i="2" s="1"/>
  <c r="K211" i="2" a="1"/>
  <c r="K211" i="2" s="1"/>
  <c r="K212" i="2" a="1"/>
  <c r="K212" i="2" s="1"/>
  <c r="K213" i="2" a="1"/>
  <c r="K213" i="2" s="1"/>
  <c r="K214" i="2" a="1"/>
  <c r="K214" i="2"/>
  <c r="K215" i="2" a="1"/>
  <c r="K215" i="2"/>
  <c r="K216" i="2" a="1"/>
  <c r="K216" i="2" s="1"/>
  <c r="K217" i="2" a="1"/>
  <c r="K217" i="2" s="1"/>
  <c r="K218" i="2" a="1"/>
  <c r="K218" i="2"/>
  <c r="K219" i="2" a="1"/>
  <c r="K219" i="2" s="1"/>
  <c r="K220" i="2" a="1"/>
  <c r="K220" i="2" s="1"/>
  <c r="K221" i="2" a="1"/>
  <c r="K221" i="2"/>
  <c r="K222" i="2" a="1"/>
  <c r="K222" i="2" s="1"/>
  <c r="K223" i="2" a="1"/>
  <c r="K223" i="2" s="1"/>
  <c r="K224" i="2" a="1"/>
  <c r="K224" i="2" s="1"/>
  <c r="K225" i="2" a="1"/>
  <c r="K225" i="2" s="1"/>
  <c r="K226" i="2" a="1"/>
  <c r="K226" i="2" s="1"/>
  <c r="K227" i="2" a="1"/>
  <c r="K227" i="2" s="1"/>
  <c r="K228" i="2" a="1"/>
  <c r="K228" i="2" s="1"/>
  <c r="K229" i="2" a="1"/>
  <c r="K229" i="2" s="1"/>
  <c r="K230" i="2" a="1"/>
  <c r="K230" i="2" s="1"/>
  <c r="K231" i="2" a="1"/>
  <c r="K231" i="2" s="1"/>
  <c r="K232" i="2" a="1"/>
  <c r="K232" i="2" s="1"/>
  <c r="K233" i="2" a="1"/>
  <c r="K233" i="2" s="1"/>
  <c r="K234" i="2" a="1"/>
  <c r="K234" i="2" s="1"/>
  <c r="K235" i="2" a="1"/>
  <c r="K235" i="2" s="1"/>
  <c r="K236" i="2" a="1"/>
  <c r="K236" i="2" s="1"/>
  <c r="K237" i="2" a="1"/>
  <c r="K237" i="2" s="1"/>
  <c r="K238" i="2" a="1"/>
  <c r="K238" i="2" s="1"/>
  <c r="K239" i="2" a="1"/>
  <c r="K239" i="2" s="1"/>
  <c r="K240" i="2" a="1"/>
  <c r="K240" i="2" s="1"/>
  <c r="K241" i="2" a="1"/>
  <c r="K241" i="2" s="1"/>
  <c r="K242" i="2" a="1"/>
  <c r="K242" i="2" s="1"/>
  <c r="K243" i="2" a="1"/>
  <c r="K243" i="2" s="1"/>
  <c r="K244" i="2" a="1"/>
  <c r="K244" i="2" s="1"/>
  <c r="K245" i="2" a="1"/>
  <c r="K245" i="2" s="1"/>
  <c r="K246" i="2" a="1"/>
  <c r="K246" i="2" s="1"/>
  <c r="K247" i="2" a="1"/>
  <c r="K247" i="2" s="1"/>
  <c r="K248" i="2" a="1"/>
  <c r="K248" i="2" s="1"/>
  <c r="K249" i="2" a="1"/>
  <c r="K249" i="2" s="1"/>
  <c r="K250" i="2" a="1"/>
  <c r="K250" i="2" s="1"/>
  <c r="K251" i="2" a="1"/>
  <c r="K251" i="2" s="1"/>
  <c r="K252" i="2" a="1"/>
  <c r="K252" i="2" s="1"/>
  <c r="K253" i="2" a="1"/>
  <c r="K253" i="2" s="1"/>
  <c r="K254" i="2" a="1"/>
  <c r="K254" i="2" s="1"/>
  <c r="K255" i="2" a="1"/>
  <c r="K255" i="2" s="1"/>
  <c r="K256" i="2" a="1"/>
  <c r="K256" i="2" s="1"/>
  <c r="K257" i="2" a="1"/>
  <c r="K257" i="2" s="1"/>
  <c r="K258" i="2" a="1"/>
  <c r="K258" i="2" s="1"/>
  <c r="K259" i="2" a="1"/>
  <c r="K259" i="2" s="1"/>
  <c r="K260" i="2" a="1"/>
  <c r="K260" i="2" s="1"/>
  <c r="K261" i="2" a="1"/>
  <c r="K261" i="2" s="1"/>
  <c r="K262" i="2" a="1"/>
  <c r="K262" i="2" s="1"/>
  <c r="K263" i="2" a="1"/>
  <c r="K263" i="2" s="1"/>
  <c r="K264" i="2" a="1"/>
  <c r="K264" i="2" s="1"/>
  <c r="K265" i="2" a="1"/>
  <c r="K265" i="2" s="1"/>
  <c r="K266" i="2" a="1"/>
  <c r="K266" i="2" s="1"/>
  <c r="K267" i="2" a="1"/>
  <c r="K267" i="2" s="1"/>
  <c r="K268" i="2" a="1"/>
  <c r="K268" i="2" s="1"/>
  <c r="K269" i="2" a="1"/>
  <c r="K269" i="2" s="1"/>
  <c r="K270" i="2" a="1"/>
  <c r="K270" i="2" s="1"/>
  <c r="K271" i="2" a="1"/>
  <c r="K271" i="2" s="1"/>
  <c r="K272" i="2" a="1"/>
  <c r="K272" i="2" s="1"/>
  <c r="K273" i="2" a="1"/>
  <c r="K273" i="2" s="1"/>
  <c r="K274" i="2" a="1"/>
  <c r="K274" i="2" s="1"/>
  <c r="K275" i="2" a="1"/>
  <c r="K275" i="2" s="1"/>
  <c r="K276" i="2" a="1"/>
  <c r="K276" i="2" s="1"/>
  <c r="K277" i="2" a="1"/>
  <c r="K277" i="2" s="1"/>
  <c r="K278" i="2" a="1"/>
  <c r="K278" i="2" s="1"/>
  <c r="K279" i="2" a="1"/>
  <c r="K279" i="2" s="1"/>
  <c r="K280" i="2" a="1"/>
  <c r="K280" i="2" s="1"/>
  <c r="K281" i="2" a="1"/>
  <c r="K281" i="2" s="1"/>
  <c r="K282" i="2" a="1"/>
  <c r="K282" i="2" s="1"/>
  <c r="K283" i="2" a="1"/>
  <c r="K283" i="2" s="1"/>
  <c r="K284" i="2" a="1"/>
  <c r="K284" i="2" s="1"/>
  <c r="K285" i="2" a="1"/>
  <c r="K285" i="2" s="1"/>
  <c r="K286" i="2" a="1"/>
  <c r="K286" i="2" s="1"/>
  <c r="K287" i="2" a="1"/>
  <c r="K287" i="2" s="1"/>
  <c r="K288" i="2" a="1"/>
  <c r="K288" i="2" s="1"/>
  <c r="K289" i="2" a="1"/>
  <c r="K289" i="2" s="1"/>
  <c r="K290" i="2" a="1"/>
  <c r="K290" i="2" s="1"/>
  <c r="K291" i="2" a="1"/>
  <c r="K291" i="2" s="1"/>
  <c r="K292" i="2" a="1"/>
  <c r="K292" i="2" s="1"/>
  <c r="K293" i="2" a="1"/>
  <c r="K293" i="2" s="1"/>
  <c r="K294" i="2" a="1"/>
  <c r="K294" i="2" s="1"/>
  <c r="K295" i="2" a="1"/>
  <c r="K295" i="2" s="1"/>
  <c r="K296" i="2" a="1"/>
  <c r="K296" i="2" s="1"/>
  <c r="K297" i="2" a="1"/>
  <c r="K297" i="2" s="1"/>
  <c r="K298" i="2" a="1"/>
  <c r="K298" i="2" s="1"/>
  <c r="K299" i="2" a="1"/>
  <c r="K299" i="2" s="1"/>
  <c r="K300" i="2" a="1"/>
  <c r="K300" i="2" s="1"/>
  <c r="K301" i="2" a="1"/>
  <c r="K301" i="2" s="1"/>
  <c r="K302" i="2" a="1"/>
  <c r="K302" i="2" s="1"/>
  <c r="K303" i="2" a="1"/>
  <c r="K303" i="2" s="1"/>
  <c r="K304" i="2" a="1"/>
  <c r="K304" i="2" s="1"/>
  <c r="K305" i="2" a="1"/>
  <c r="K305" i="2" s="1"/>
  <c r="K306" i="2" a="1"/>
  <c r="K306" i="2" s="1"/>
  <c r="K307" i="2" a="1"/>
  <c r="K307" i="2" s="1"/>
  <c r="K308" i="2" a="1"/>
  <c r="K308" i="2" s="1"/>
  <c r="K309" i="2" a="1"/>
  <c r="K309" i="2" s="1"/>
  <c r="K310" i="2" a="1"/>
  <c r="K310" i="2" s="1"/>
  <c r="K311" i="2" a="1"/>
  <c r="K311" i="2" s="1"/>
  <c r="K312" i="2" a="1"/>
  <c r="K312" i="2" s="1"/>
  <c r="K313" i="2" a="1"/>
  <c r="K313" i="2" s="1"/>
  <c r="K314" i="2" a="1"/>
  <c r="K314" i="2" s="1"/>
  <c r="K315" i="2" a="1"/>
  <c r="K315" i="2" s="1"/>
  <c r="K316" i="2" a="1"/>
  <c r="K316" i="2" s="1"/>
  <c r="K317" i="2" a="1"/>
  <c r="K317" i="2" s="1"/>
  <c r="K318" i="2" a="1"/>
  <c r="K318" i="2" s="1"/>
  <c r="K319" i="2" a="1"/>
  <c r="K319" i="2" s="1"/>
  <c r="K320" i="2" a="1"/>
  <c r="K320" i="2" s="1"/>
  <c r="K321" i="2" a="1"/>
  <c r="K321" i="2" s="1"/>
  <c r="K322" i="2" a="1"/>
  <c r="K322" i="2" s="1"/>
  <c r="K323" i="2" a="1"/>
  <c r="K323" i="2" s="1"/>
  <c r="K324" i="2" a="1"/>
  <c r="K324" i="2" s="1"/>
  <c r="K325" i="2" a="1"/>
  <c r="K325" i="2" s="1"/>
  <c r="K326" i="2" a="1"/>
  <c r="K326" i="2" s="1"/>
  <c r="K327" i="2" a="1"/>
  <c r="K327" i="2" s="1"/>
  <c r="K328" i="2" a="1"/>
  <c r="K328" i="2" s="1"/>
  <c r="K329" i="2" a="1"/>
  <c r="K329" i="2" s="1"/>
  <c r="K330" i="2" a="1"/>
  <c r="K330" i="2" s="1"/>
  <c r="K331" i="2" a="1"/>
  <c r="K331" i="2" s="1"/>
  <c r="K332" i="2" a="1"/>
  <c r="K332" i="2" s="1"/>
  <c r="K333" i="2" a="1"/>
  <c r="K333" i="2" s="1"/>
  <c r="K334" i="2" a="1"/>
  <c r="K334" i="2" s="1"/>
  <c r="K335" i="2" a="1"/>
  <c r="K335" i="2" s="1"/>
  <c r="K336" i="2" a="1"/>
  <c r="K336" i="2" s="1"/>
  <c r="K337" i="2" a="1"/>
  <c r="K337" i="2" s="1"/>
  <c r="K338" i="2" a="1"/>
  <c r="K338" i="2" s="1"/>
  <c r="K339" i="2" a="1"/>
  <c r="K339" i="2" s="1"/>
  <c r="K340" i="2" a="1"/>
  <c r="K340" i="2" s="1"/>
  <c r="K341" i="2" a="1"/>
  <c r="K341" i="2" s="1"/>
  <c r="K342" i="2" a="1"/>
  <c r="K342" i="2" s="1"/>
  <c r="K343" i="2" a="1"/>
  <c r="K343" i="2" s="1"/>
  <c r="K344" i="2" a="1"/>
  <c r="K344" i="2" s="1"/>
  <c r="K345" i="2" a="1"/>
  <c r="K345" i="2" s="1"/>
  <c r="K346" i="2" a="1"/>
  <c r="K346" i="2" s="1"/>
  <c r="K347" i="2" a="1"/>
  <c r="K347" i="2" s="1"/>
  <c r="K348" i="2" a="1"/>
  <c r="K348" i="2" s="1"/>
  <c r="K349" i="2" a="1"/>
  <c r="K349" i="2" s="1"/>
  <c r="K350" i="2" a="1"/>
  <c r="K350" i="2" s="1"/>
  <c r="K351" i="2" a="1"/>
  <c r="K351" i="2" s="1"/>
  <c r="K352" i="2" a="1"/>
  <c r="K352" i="2" s="1"/>
  <c r="K353" i="2" a="1"/>
  <c r="K353" i="2" s="1"/>
  <c r="K354" i="2" a="1"/>
  <c r="K354" i="2" s="1"/>
  <c r="K355" i="2" a="1"/>
  <c r="K355" i="2" s="1"/>
  <c r="K356" i="2" a="1"/>
  <c r="K356" i="2" s="1"/>
  <c r="K357" i="2" a="1"/>
  <c r="K357" i="2" s="1"/>
  <c r="K358" i="2" a="1"/>
  <c r="K358" i="2" s="1"/>
  <c r="K359" i="2" a="1"/>
  <c r="K359" i="2" s="1"/>
  <c r="K360" i="2" a="1"/>
  <c r="K360" i="2" s="1"/>
  <c r="K361" i="2" a="1"/>
  <c r="K361" i="2" s="1"/>
  <c r="K362" i="2" a="1"/>
  <c r="K362" i="2" s="1"/>
  <c r="K363" i="2" a="1"/>
  <c r="K363" i="2" s="1"/>
  <c r="K364" i="2" a="1"/>
  <c r="K364" i="2" s="1"/>
  <c r="K365" i="2" a="1"/>
  <c r="K365" i="2" s="1"/>
  <c r="K366" i="2" a="1"/>
  <c r="K366" i="2" s="1"/>
  <c r="K367" i="2" a="1"/>
  <c r="K367" i="2" s="1"/>
  <c r="K368" i="2" a="1"/>
  <c r="K368" i="2" s="1"/>
  <c r="K369" i="2" a="1"/>
  <c r="K369" i="2" s="1"/>
  <c r="K370" i="2" a="1"/>
  <c r="K370" i="2" s="1"/>
  <c r="K371" i="2" a="1"/>
  <c r="K371" i="2" s="1"/>
  <c r="K372" i="2" a="1"/>
  <c r="K372" i="2" s="1"/>
  <c r="K373" i="2" a="1"/>
  <c r="K373" i="2" s="1"/>
  <c r="K374" i="2" a="1"/>
  <c r="K374" i="2" s="1"/>
  <c r="K375" i="2" a="1"/>
  <c r="K375" i="2" s="1"/>
  <c r="K376" i="2" a="1"/>
  <c r="K376" i="2" s="1"/>
  <c r="K377" i="2" a="1"/>
  <c r="K377" i="2" s="1"/>
  <c r="K378" i="2" a="1"/>
  <c r="K378" i="2" s="1"/>
  <c r="K379" i="2" a="1"/>
  <c r="K379" i="2" s="1"/>
  <c r="K380" i="2" a="1"/>
  <c r="K380" i="2" s="1"/>
  <c r="K381" i="2" a="1"/>
  <c r="K381" i="2" s="1"/>
  <c r="K382" i="2" a="1"/>
  <c r="K382" i="2" s="1"/>
  <c r="K383" i="2" a="1"/>
  <c r="K383" i="2" s="1"/>
  <c r="K384" i="2" a="1"/>
  <c r="K384" i="2" s="1"/>
  <c r="K385" i="2" a="1"/>
  <c r="K385" i="2" s="1"/>
  <c r="K386" i="2" a="1"/>
  <c r="K386" i="2" s="1"/>
  <c r="K387" i="2" a="1"/>
  <c r="K387" i="2" s="1"/>
  <c r="K388" i="2" a="1"/>
  <c r="K388" i="2" s="1"/>
  <c r="K389" i="2" a="1"/>
  <c r="K389" i="2" s="1"/>
  <c r="K390" i="2" a="1"/>
  <c r="K390" i="2" s="1"/>
  <c r="K391" i="2" a="1"/>
  <c r="K391" i="2" s="1"/>
  <c r="K392" i="2" a="1"/>
  <c r="K392" i="2" s="1"/>
  <c r="K393" i="2" a="1"/>
  <c r="K393" i="2" s="1"/>
  <c r="K394" i="2" a="1"/>
  <c r="K394" i="2" s="1"/>
  <c r="K395" i="2" a="1"/>
  <c r="K395" i="2" s="1"/>
  <c r="K396" i="2" a="1"/>
  <c r="K396" i="2" s="1"/>
  <c r="K397" i="2" a="1"/>
  <c r="K397" i="2" s="1"/>
  <c r="K398" i="2" a="1"/>
  <c r="K398" i="2" s="1"/>
  <c r="K399" i="2" a="1"/>
  <c r="K399" i="2" s="1"/>
  <c r="K400" i="2" a="1"/>
  <c r="K400" i="2" s="1"/>
  <c r="K401" i="2" a="1"/>
  <c r="K401" i="2" s="1"/>
  <c r="K402" i="2" a="1"/>
  <c r="K402" i="2" s="1"/>
  <c r="K403" i="2" a="1"/>
  <c r="K403" i="2" s="1"/>
  <c r="K404" i="2" a="1"/>
  <c r="K404" i="2" s="1"/>
  <c r="K405" i="2" a="1"/>
  <c r="K405" i="2" s="1"/>
  <c r="K406" i="2" a="1"/>
  <c r="K406" i="2" s="1"/>
  <c r="K407" i="2" a="1"/>
  <c r="K407" i="2" s="1"/>
  <c r="K408" i="2" a="1"/>
  <c r="K408" i="2" s="1"/>
  <c r="K409" i="2" a="1"/>
  <c r="K409" i="2" s="1"/>
  <c r="K410" i="2" a="1"/>
  <c r="K410" i="2" s="1"/>
  <c r="K411" i="2" a="1"/>
  <c r="K411" i="2" s="1"/>
  <c r="K412" i="2" a="1"/>
  <c r="K412" i="2" s="1"/>
  <c r="K413" i="2" a="1"/>
  <c r="K413" i="2" s="1"/>
  <c r="K414" i="2" a="1"/>
  <c r="K414" i="2" s="1"/>
  <c r="K415" i="2" a="1"/>
  <c r="K415" i="2" s="1"/>
  <c r="K416" i="2" a="1"/>
  <c r="K416" i="2" s="1"/>
  <c r="K417" i="2" a="1"/>
  <c r="K417" i="2" s="1"/>
  <c r="K418" i="2" a="1"/>
  <c r="K418" i="2" s="1"/>
  <c r="K419" i="2" a="1"/>
  <c r="K419" i="2" s="1"/>
  <c r="K420" i="2" a="1"/>
  <c r="K420" i="2" s="1"/>
  <c r="K421" i="2" a="1"/>
  <c r="K421" i="2" s="1"/>
  <c r="K422" i="2" a="1"/>
  <c r="K422" i="2" s="1"/>
  <c r="K423" i="2" a="1"/>
  <c r="K423" i="2" s="1"/>
  <c r="K424" i="2" a="1"/>
  <c r="K424" i="2" s="1"/>
  <c r="K425" i="2" a="1"/>
  <c r="K425" i="2" s="1"/>
  <c r="K426" i="2" a="1"/>
  <c r="K426" i="2" s="1"/>
  <c r="K427" i="2" a="1"/>
  <c r="K427" i="2" s="1"/>
  <c r="K428" i="2" a="1"/>
  <c r="K428" i="2" s="1"/>
  <c r="K429" i="2" a="1"/>
  <c r="K429" i="2" s="1"/>
  <c r="K430" i="2" a="1"/>
  <c r="K430" i="2" s="1"/>
  <c r="K431" i="2" a="1"/>
  <c r="K431" i="2" s="1"/>
  <c r="K432" i="2" a="1"/>
  <c r="K432" i="2" s="1"/>
  <c r="K433" i="2" a="1"/>
  <c r="K433" i="2" s="1"/>
  <c r="K434" i="2" a="1"/>
  <c r="K434" i="2" s="1"/>
  <c r="K435" i="2" a="1"/>
  <c r="K435" i="2" s="1"/>
  <c r="K436" i="2" a="1"/>
  <c r="K436" i="2" s="1"/>
  <c r="K437" i="2" a="1"/>
  <c r="K437" i="2" s="1"/>
  <c r="K438" i="2" a="1"/>
  <c r="K438" i="2" s="1"/>
  <c r="K439" i="2" a="1"/>
  <c r="K439" i="2" s="1"/>
  <c r="K440" i="2" a="1"/>
  <c r="K440" i="2" s="1"/>
  <c r="K441" i="2" a="1"/>
  <c r="K441" i="2" s="1"/>
  <c r="K442" i="2" a="1"/>
  <c r="K442" i="2" s="1"/>
  <c r="K443" i="2" a="1"/>
  <c r="K443" i="2" s="1"/>
  <c r="K444" i="2" a="1"/>
  <c r="K444" i="2" s="1"/>
  <c r="K445" i="2" a="1"/>
  <c r="K445" i="2" s="1"/>
  <c r="K446" i="2" a="1"/>
  <c r="K446" i="2" s="1"/>
  <c r="K447" i="2" a="1"/>
  <c r="K447" i="2" s="1"/>
  <c r="K448" i="2" a="1"/>
  <c r="K448" i="2" s="1"/>
  <c r="K449" i="2" a="1"/>
  <c r="K449" i="2" s="1"/>
  <c r="K450" i="2" a="1"/>
  <c r="K450" i="2" s="1"/>
  <c r="K451" i="2" a="1"/>
  <c r="K451" i="2" s="1"/>
  <c r="K452" i="2" a="1"/>
  <c r="K452" i="2" s="1"/>
  <c r="K453" i="2" a="1"/>
  <c r="K453" i="2" s="1"/>
  <c r="K454" i="2" a="1"/>
  <c r="K454" i="2" s="1"/>
  <c r="K455" i="2" a="1"/>
  <c r="K455" i="2" s="1"/>
  <c r="K456" i="2" a="1"/>
  <c r="K456" i="2" s="1"/>
  <c r="K457" i="2" a="1"/>
  <c r="K457" i="2" s="1"/>
  <c r="K458" i="2" a="1"/>
  <c r="K458" i="2" s="1"/>
  <c r="K459" i="2" a="1"/>
  <c r="K459" i="2" s="1"/>
  <c r="K460" i="2" a="1"/>
  <c r="K460" i="2" s="1"/>
  <c r="K461" i="2" a="1"/>
  <c r="K461" i="2" s="1"/>
  <c r="K462" i="2" a="1"/>
  <c r="K462" i="2" s="1"/>
  <c r="K463" i="2" a="1"/>
  <c r="K463" i="2" s="1"/>
  <c r="K464" i="2" a="1"/>
  <c r="K464" i="2" s="1"/>
  <c r="K465" i="2" a="1"/>
  <c r="K465" i="2" s="1"/>
  <c r="K466" i="2" a="1"/>
  <c r="K466" i="2" s="1"/>
  <c r="K467" i="2" a="1"/>
  <c r="K467" i="2" s="1"/>
  <c r="K468" i="2" a="1"/>
  <c r="K468" i="2" s="1"/>
  <c r="K469" i="2" a="1"/>
  <c r="K469" i="2" s="1"/>
  <c r="K470" i="2" a="1"/>
  <c r="K470" i="2" s="1"/>
  <c r="K471" i="2" a="1"/>
  <c r="K471" i="2" s="1"/>
  <c r="K472" i="2" a="1"/>
  <c r="K472" i="2" s="1"/>
  <c r="K473" i="2" a="1"/>
  <c r="K473" i="2" s="1"/>
  <c r="K474" i="2" a="1"/>
  <c r="K474" i="2" s="1"/>
  <c r="K475" i="2" a="1"/>
  <c r="K475" i="2" s="1"/>
  <c r="K476" i="2" a="1"/>
  <c r="K476" i="2" s="1"/>
  <c r="K477" i="2" a="1"/>
  <c r="K477" i="2" s="1"/>
  <c r="K478" i="2" a="1"/>
  <c r="K478" i="2" s="1"/>
  <c r="K479" i="2" a="1"/>
  <c r="K479" i="2" s="1"/>
  <c r="K480" i="2" a="1"/>
  <c r="K480" i="2" s="1"/>
  <c r="K481" i="2" a="1"/>
  <c r="K481" i="2" s="1"/>
  <c r="K482" i="2" a="1"/>
  <c r="K482" i="2" s="1"/>
  <c r="K483" i="2" a="1"/>
  <c r="K483" i="2" s="1"/>
  <c r="K484" i="2" a="1"/>
  <c r="K484" i="2" s="1"/>
  <c r="K485" i="2" a="1"/>
  <c r="K485" i="2" s="1"/>
  <c r="K486" i="2" a="1"/>
  <c r="K486" i="2" s="1"/>
  <c r="K487" i="2" a="1"/>
  <c r="K487" i="2" s="1"/>
  <c r="K488" i="2" a="1"/>
  <c r="K488" i="2" s="1"/>
  <c r="K489" i="2" a="1"/>
  <c r="K489" i="2" s="1"/>
  <c r="K490" i="2" a="1"/>
  <c r="K490" i="2"/>
  <c r="K491" i="2" a="1"/>
  <c r="K491" i="2" s="1"/>
  <c r="K492" i="2" a="1"/>
  <c r="K492" i="2"/>
  <c r="K493" i="2" a="1"/>
  <c r="K493" i="2" s="1"/>
  <c r="K494" i="2" a="1"/>
  <c r="K494" i="2" s="1"/>
  <c r="K495" i="2" a="1"/>
  <c r="K495" i="2" s="1"/>
  <c r="K496" i="2" a="1"/>
  <c r="K496" i="2"/>
  <c r="K497" i="2" a="1"/>
  <c r="K497" i="2" s="1"/>
  <c r="K498" i="2" a="1"/>
  <c r="K498" i="2" s="1"/>
  <c r="K499" i="2" a="1"/>
  <c r="K499" i="2" s="1"/>
  <c r="K500" i="2" a="1"/>
  <c r="K500" i="2" s="1"/>
  <c r="K501" i="2" a="1"/>
  <c r="K501" i="2"/>
  <c r="K502" i="2" a="1"/>
  <c r="K502" i="2"/>
  <c r="K503" i="2" a="1"/>
  <c r="K503" i="2" s="1"/>
  <c r="K504" i="2" a="1"/>
  <c r="K504" i="2" s="1"/>
  <c r="K505" i="2" a="1"/>
  <c r="K505" i="2" s="1"/>
  <c r="K506" i="2" a="1"/>
  <c r="K506" i="2" s="1"/>
  <c r="K507" i="2" a="1"/>
  <c r="K507" i="2"/>
  <c r="K508" i="2" a="1"/>
  <c r="K508" i="2"/>
  <c r="K509" i="2" a="1"/>
  <c r="K509" i="2" s="1"/>
  <c r="K510" i="2" a="1"/>
  <c r="K510" i="2" s="1"/>
  <c r="K511" i="2" a="1"/>
  <c r="K511" i="2" s="1"/>
  <c r="K512" i="2" a="1"/>
  <c r="K512" i="2" s="1"/>
  <c r="K513" i="2" a="1"/>
  <c r="K513" i="2"/>
  <c r="K514" i="2" a="1"/>
  <c r="K514" i="2" s="1"/>
  <c r="K515" i="2" a="1"/>
  <c r="K515" i="2" s="1"/>
  <c r="K516" i="2" a="1"/>
  <c r="K516" i="2" s="1"/>
  <c r="K517" i="2" a="1"/>
  <c r="K517" i="2"/>
  <c r="K518" i="2" a="1"/>
  <c r="K518" i="2" s="1"/>
  <c r="K519" i="2" a="1"/>
  <c r="K519" i="2"/>
  <c r="K520" i="2" a="1"/>
  <c r="K520" i="2" s="1"/>
  <c r="K521" i="2" a="1"/>
  <c r="K521" i="2" s="1"/>
  <c r="K522" i="2" a="1"/>
  <c r="K522" i="2" s="1"/>
  <c r="K523" i="2" a="1"/>
  <c r="K523" i="2" s="1"/>
  <c r="K524" i="2" a="1"/>
  <c r="K524" i="2" s="1"/>
  <c r="K525" i="2" a="1"/>
  <c r="K525" i="2" s="1"/>
  <c r="K526" i="2" a="1"/>
  <c r="K526" i="2" s="1"/>
  <c r="K527" i="2" a="1"/>
  <c r="K527" i="2" s="1"/>
  <c r="K528" i="2" a="1"/>
  <c r="K528" i="2"/>
  <c r="K529" i="2" a="1"/>
  <c r="K529" i="2" s="1"/>
  <c r="K530" i="2" a="1"/>
  <c r="K530" i="2" s="1"/>
  <c r="K531" i="2" a="1"/>
  <c r="K531" i="2" s="1"/>
  <c r="K532" i="2" a="1"/>
  <c r="K532" i="2" s="1"/>
  <c r="K533" i="2" a="1"/>
  <c r="K533" i="2" s="1"/>
  <c r="K534" i="2" a="1"/>
  <c r="K534" i="2" s="1"/>
  <c r="K535" i="2" a="1"/>
  <c r="K535" i="2" s="1"/>
  <c r="K536" i="2" a="1"/>
  <c r="K536" i="2" s="1"/>
  <c r="K537" i="2" a="1"/>
  <c r="K537" i="2" s="1"/>
  <c r="K538" i="2" a="1"/>
  <c r="K538" i="2" s="1"/>
  <c r="K539" i="2" a="1"/>
  <c r="K539" i="2" s="1"/>
  <c r="K540" i="2" a="1"/>
  <c r="K540" i="2" s="1"/>
  <c r="K541" i="2" a="1"/>
  <c r="K541" i="2" s="1"/>
  <c r="K542" i="2" a="1"/>
  <c r="K542" i="2" s="1"/>
  <c r="K543" i="2" a="1"/>
  <c r="K543" i="2" s="1"/>
  <c r="K544" i="2" a="1"/>
  <c r="K544" i="2"/>
  <c r="K545" i="2" a="1"/>
  <c r="K545" i="2" s="1"/>
  <c r="K546" i="2" a="1"/>
  <c r="K546" i="2"/>
  <c r="K547" i="2" a="1"/>
  <c r="K547" i="2" s="1"/>
  <c r="K548" i="2" a="1"/>
  <c r="K548" i="2" s="1"/>
  <c r="K549" i="2" a="1"/>
  <c r="K549" i="2"/>
  <c r="K550" i="2" a="1"/>
  <c r="K550" i="2"/>
  <c r="K551" i="2" a="1"/>
  <c r="K551" i="2" s="1"/>
  <c r="K552" i="2" a="1"/>
  <c r="K552" i="2" s="1"/>
  <c r="K553" i="2" a="1"/>
  <c r="K553" i="2" s="1"/>
  <c r="K554" i="2" a="1"/>
  <c r="K554" i="2" s="1"/>
  <c r="K555" i="2" a="1"/>
  <c r="K555" i="2"/>
  <c r="K556" i="2" a="1"/>
  <c r="K556" i="2"/>
  <c r="K557" i="2" a="1"/>
  <c r="K557" i="2" s="1"/>
  <c r="K558" i="2" a="1"/>
  <c r="K558" i="2" s="1"/>
  <c r="K559" i="2" a="1"/>
  <c r="K559" i="2" s="1"/>
  <c r="K560" i="2" a="1"/>
  <c r="K560" i="2" s="1"/>
  <c r="K561" i="2" a="1"/>
  <c r="K561" i="2" s="1"/>
  <c r="K562" i="2" a="1"/>
  <c r="K562" i="2"/>
  <c r="K563" i="2" a="1"/>
  <c r="K563" i="2" s="1"/>
  <c r="K564" i="2" a="1"/>
  <c r="K564" i="2" s="1"/>
  <c r="K565" i="2" a="1"/>
  <c r="K565" i="2" s="1"/>
  <c r="K566" i="2" a="1"/>
  <c r="K566" i="2" s="1"/>
  <c r="K567" i="2" a="1"/>
  <c r="K567" i="2"/>
  <c r="K568" i="2" a="1"/>
  <c r="K568" i="2" s="1"/>
  <c r="K569" i="2" a="1"/>
  <c r="K569" i="2" s="1"/>
  <c r="K570" i="2" a="1"/>
  <c r="K570" i="2" s="1"/>
  <c r="K571" i="2" a="1"/>
  <c r="K571" i="2"/>
  <c r="K572" i="2" a="1"/>
  <c r="K572" i="2" s="1"/>
  <c r="K573" i="2" a="1"/>
  <c r="K573" i="2"/>
  <c r="K574" i="2" a="1"/>
  <c r="K574" i="2" s="1"/>
  <c r="K575" i="2" a="1"/>
  <c r="K575" i="2" s="1"/>
  <c r="K576" i="2" a="1"/>
  <c r="K576" i="2" s="1"/>
  <c r="K577" i="2" a="1"/>
  <c r="K577" i="2" s="1"/>
  <c r="K578" i="2" a="1"/>
  <c r="K578" i="2" s="1"/>
  <c r="K579" i="2" a="1"/>
  <c r="K579" i="2" s="1"/>
  <c r="K580" i="2" a="1"/>
  <c r="K580" i="2" s="1"/>
  <c r="K581" i="2" a="1"/>
  <c r="K581" i="2" s="1"/>
  <c r="K582" i="2" a="1"/>
  <c r="K582" i="2" s="1"/>
  <c r="K583" i="2" a="1"/>
  <c r="K583" i="2" s="1"/>
  <c r="K584" i="2" a="1"/>
  <c r="K584" i="2" s="1"/>
  <c r="K585" i="2" a="1"/>
  <c r="K585" i="2" s="1"/>
  <c r="K586" i="2" a="1"/>
  <c r="K586" i="2" s="1"/>
  <c r="K587" i="2" a="1"/>
  <c r="K587" i="2" s="1"/>
  <c r="K588" i="2" a="1"/>
  <c r="K588" i="2" s="1"/>
  <c r="K589" i="2" a="1"/>
  <c r="K589" i="2" s="1"/>
  <c r="K590" i="2" a="1"/>
  <c r="K590" i="2" s="1"/>
  <c r="K591" i="2" a="1"/>
  <c r="K591" i="2" s="1"/>
  <c r="K592" i="2" a="1"/>
  <c r="K592" i="2"/>
  <c r="K593" i="2" a="1"/>
  <c r="K593" i="2" s="1"/>
  <c r="K594" i="2" a="1"/>
  <c r="K594" i="2" s="1"/>
  <c r="K595" i="2" a="1"/>
  <c r="K595" i="2" s="1"/>
  <c r="K596" i="2" a="1"/>
  <c r="K596" i="2" s="1"/>
  <c r="K597" i="2" a="1"/>
  <c r="K597" i="2"/>
  <c r="K598" i="2" a="1"/>
  <c r="K598" i="2"/>
  <c r="K599" i="2" a="1"/>
  <c r="K599" i="2" s="1"/>
  <c r="K600" i="2" a="1"/>
  <c r="K600" i="2"/>
  <c r="K601" i="2" a="1"/>
  <c r="K601" i="2" s="1"/>
  <c r="K602" i="2" a="1"/>
  <c r="K602" i="2" s="1"/>
  <c r="K603" i="2" a="1"/>
  <c r="K603" i="2" s="1"/>
  <c r="K604" i="2" a="1"/>
  <c r="K604" i="2"/>
  <c r="K605" i="2" a="1"/>
  <c r="K605" i="2" s="1"/>
  <c r="K606" i="2" a="1"/>
  <c r="K606" i="2" s="1"/>
  <c r="K607" i="2" a="1"/>
  <c r="K607" i="2" s="1"/>
  <c r="K608" i="2" a="1"/>
  <c r="K608" i="2" s="1"/>
  <c r="K609" i="2" a="1"/>
  <c r="K609" i="2"/>
  <c r="K610" i="2" a="1"/>
  <c r="K610" i="2"/>
  <c r="K611" i="2" a="1"/>
  <c r="K611" i="2" s="1"/>
  <c r="K612" i="2" a="1"/>
  <c r="K612" i="2" s="1"/>
  <c r="K613" i="2" a="1"/>
  <c r="K613" i="2" s="1"/>
  <c r="K614" i="2" a="1"/>
  <c r="K614" i="2" s="1"/>
  <c r="K615" i="2" a="1"/>
  <c r="K615" i="2" s="1"/>
  <c r="K616" i="2" a="1"/>
  <c r="K616" i="2"/>
  <c r="K617" i="2" a="1"/>
  <c r="K617" i="2" s="1"/>
  <c r="K618" i="2" a="1"/>
  <c r="K618" i="2" s="1"/>
  <c r="K619" i="2" a="1"/>
  <c r="K619" i="2" s="1"/>
  <c r="K620" i="2" a="1"/>
  <c r="K620" i="2" s="1"/>
  <c r="K621" i="2" a="1"/>
  <c r="K621" i="2"/>
  <c r="K622" i="2" a="1"/>
  <c r="K622" i="2" s="1"/>
  <c r="K623" i="2" a="1"/>
  <c r="K623" i="2" s="1"/>
  <c r="K624" i="2" a="1"/>
  <c r="K624" i="2" s="1"/>
  <c r="K625" i="2" a="1"/>
  <c r="K625" i="2"/>
  <c r="K626" i="2" a="1"/>
  <c r="K626" i="2" s="1"/>
  <c r="K627" i="2" a="1"/>
  <c r="K627" i="2"/>
  <c r="K628" i="2" a="1"/>
  <c r="K628" i="2" s="1"/>
  <c r="K629" i="2" a="1"/>
  <c r="K629" i="2" s="1"/>
  <c r="K630" i="2" a="1"/>
  <c r="K630" i="2" s="1"/>
  <c r="K631" i="2" a="1"/>
  <c r="K631" i="2" s="1"/>
  <c r="K632" i="2" a="1"/>
  <c r="K632" i="2" s="1"/>
  <c r="K633" i="2" a="1"/>
  <c r="K633" i="2" s="1"/>
  <c r="K634" i="2" a="1"/>
  <c r="K634" i="2" s="1"/>
  <c r="K635" i="2" a="1"/>
  <c r="K635" i="2" s="1"/>
  <c r="K636" i="2" a="1"/>
  <c r="K636" i="2"/>
  <c r="K637" i="2" a="1"/>
  <c r="K637" i="2" s="1"/>
  <c r="K638" i="2" a="1"/>
  <c r="K638" i="2" s="1"/>
  <c r="K639" i="2" a="1"/>
  <c r="K639" i="2" s="1"/>
  <c r="K640" i="2" a="1"/>
  <c r="K640" i="2" s="1"/>
  <c r="K641" i="2" a="1"/>
  <c r="K641" i="2" s="1"/>
  <c r="K642" i="2" a="1"/>
  <c r="K642" i="2" s="1"/>
  <c r="K643" i="2" a="1"/>
  <c r="K643" i="2" s="1"/>
  <c r="K644" i="2" a="1"/>
  <c r="K644" i="2" s="1"/>
  <c r="K645" i="2" a="1"/>
  <c r="K645" i="2" s="1"/>
  <c r="K646" i="2" a="1"/>
  <c r="K646" i="2"/>
  <c r="K647" i="2" a="1"/>
  <c r="K647" i="2" s="1"/>
  <c r="K648" i="2" a="1"/>
  <c r="K648" i="2" s="1"/>
  <c r="K649" i="2" a="1"/>
  <c r="K649" i="2" s="1"/>
  <c r="K650" i="2" a="1"/>
  <c r="K650" i="2" s="1"/>
  <c r="K651" i="2" a="1"/>
  <c r="K651" i="2"/>
  <c r="K652" i="2" a="1"/>
  <c r="K652" i="2"/>
  <c r="K653" i="2" a="1"/>
  <c r="K653" i="2" s="1"/>
  <c r="K654" i="2" a="1"/>
  <c r="K654" i="2"/>
  <c r="K655" i="2" a="1"/>
  <c r="K655" i="2" s="1"/>
  <c r="K656" i="2" a="1"/>
  <c r="K656" i="2" s="1"/>
  <c r="K657" i="2" a="1"/>
  <c r="K657" i="2" s="1"/>
  <c r="K658" i="2" a="1"/>
  <c r="K658" i="2"/>
  <c r="K659" i="2" a="1"/>
  <c r="K659" i="2" s="1"/>
  <c r="K660" i="2" a="1"/>
  <c r="K660" i="2" s="1"/>
  <c r="K661" i="2" a="1"/>
  <c r="K661" i="2" s="1"/>
  <c r="K662" i="2" a="1"/>
  <c r="K662" i="2" s="1"/>
  <c r="K663" i="2" a="1"/>
  <c r="K663" i="2" s="1"/>
  <c r="K664" i="2" a="1"/>
  <c r="K664" i="2"/>
  <c r="K665" i="2" a="1"/>
  <c r="K665" i="2" s="1"/>
  <c r="K666" i="2" a="1"/>
  <c r="K666" i="2" s="1"/>
  <c r="K667" i="2" a="1"/>
  <c r="K667" i="2" s="1"/>
  <c r="K668" i="2" a="1"/>
  <c r="K668" i="2" s="1"/>
  <c r="K669" i="2" a="1"/>
  <c r="K669" i="2" s="1"/>
  <c r="K670" i="2" a="1"/>
  <c r="K670" i="2"/>
  <c r="K671" i="2" a="1"/>
  <c r="K671" i="2" s="1"/>
  <c r="K672" i="2" a="1"/>
  <c r="K672" i="2" s="1"/>
  <c r="K673" i="2" a="1"/>
  <c r="K673" i="2" s="1"/>
  <c r="K674" i="2" a="1"/>
  <c r="K674" i="2" s="1"/>
  <c r="K675" i="2" a="1"/>
  <c r="K675" i="2"/>
  <c r="K676" i="2" a="1"/>
  <c r="K676" i="2" s="1"/>
  <c r="K677" i="2" a="1"/>
  <c r="K677" i="2" s="1"/>
  <c r="K678" i="2" a="1"/>
  <c r="K678" i="2" s="1"/>
  <c r="K679" i="2" a="1"/>
  <c r="K679" i="2"/>
  <c r="K680" i="2" a="1"/>
  <c r="K680" i="2" s="1"/>
  <c r="K681" i="2" a="1"/>
  <c r="K681" i="2" s="1"/>
  <c r="K682" i="2" a="1"/>
  <c r="K682" i="2" s="1"/>
  <c r="K683" i="2" a="1"/>
  <c r="K683" i="2" s="1"/>
  <c r="K684" i="2" a="1"/>
  <c r="K684" i="2" s="1"/>
  <c r="K685" i="2" a="1"/>
  <c r="K685" i="2" s="1"/>
  <c r="K686" i="2" a="1"/>
  <c r="K686" i="2" s="1"/>
  <c r="K687" i="2" a="1"/>
  <c r="K687" i="2" s="1"/>
  <c r="K688" i="2" a="1"/>
  <c r="K688" i="2" s="1"/>
  <c r="K689" i="2" a="1"/>
  <c r="K689" i="2" s="1"/>
  <c r="K690" i="2" a="1"/>
  <c r="K690" i="2"/>
  <c r="K691" i="2" a="1"/>
  <c r="K691" i="2" s="1"/>
  <c r="K692" i="2" a="1"/>
  <c r="K692" i="2" s="1"/>
  <c r="K693" i="2" a="1"/>
  <c r="K693" i="2" s="1"/>
  <c r="K694" i="2" a="1"/>
  <c r="K694" i="2" s="1"/>
  <c r="K695" i="2" a="1"/>
  <c r="K695" i="2" s="1"/>
  <c r="K696" i="2" a="1"/>
  <c r="K696" i="2" s="1"/>
  <c r="K697" i="2" a="1"/>
  <c r="K697" i="2" s="1"/>
  <c r="K698" i="2" a="1"/>
  <c r="K698" i="2" s="1"/>
  <c r="K699" i="2" a="1"/>
  <c r="K699" i="2" s="1"/>
  <c r="K700" i="2" a="1"/>
  <c r="K700" i="2"/>
  <c r="K701" i="2" a="1"/>
  <c r="K701" i="2" s="1"/>
  <c r="K702" i="2" a="1"/>
  <c r="K702" i="2" s="1"/>
  <c r="K703" i="2" a="1"/>
  <c r="K703" i="2" s="1"/>
  <c r="K704" i="2" a="1"/>
  <c r="K704" i="2" s="1"/>
  <c r="K705" i="2" a="1"/>
  <c r="K705" i="2"/>
  <c r="K706" i="2" a="1"/>
  <c r="K706" i="2"/>
  <c r="K707" i="2" a="1"/>
  <c r="K707" i="2" s="1"/>
  <c r="K708" i="2" a="1"/>
  <c r="K708" i="2"/>
  <c r="K709" i="2" a="1"/>
  <c r="K709" i="2" s="1"/>
  <c r="K710" i="2" a="1"/>
  <c r="K710" i="2" s="1"/>
  <c r="K711" i="2" a="1"/>
  <c r="K711" i="2" s="1"/>
  <c r="K712" i="2" a="1"/>
  <c r="K712" i="2"/>
  <c r="K713" i="2" a="1"/>
  <c r="K713" i="2" s="1"/>
  <c r="K714" i="2" a="1"/>
  <c r="K714" i="2" s="1"/>
  <c r="K715" i="2" a="1"/>
  <c r="K715" i="2" s="1"/>
  <c r="K716" i="2" a="1"/>
  <c r="K716" i="2" s="1"/>
  <c r="K717" i="2" a="1"/>
  <c r="K717" i="2" s="1"/>
  <c r="K718" i="2" a="1"/>
  <c r="K718" i="2" s="1"/>
  <c r="K719" i="2" a="1"/>
  <c r="K719" i="2" s="1"/>
  <c r="K720" i="2" a="1"/>
  <c r="K720" i="2" s="1"/>
  <c r="K721" i="2" a="1"/>
  <c r="K721" i="2" s="1"/>
  <c r="K722" i="2" a="1"/>
  <c r="K722" i="2" s="1"/>
  <c r="K723" i="2" a="1"/>
  <c r="K723" i="2" s="1"/>
  <c r="K724" i="2" a="1"/>
  <c r="K724" i="2"/>
  <c r="K725" i="2" a="1"/>
  <c r="K725" i="2" s="1"/>
  <c r="K726" i="2" a="1"/>
  <c r="K726" i="2" s="1"/>
  <c r="K727" i="2" a="1"/>
  <c r="K727" i="2" s="1"/>
  <c r="K728" i="2" a="1"/>
  <c r="K728" i="2" s="1"/>
  <c r="K729" i="2" a="1"/>
  <c r="K729" i="2"/>
  <c r="K730" i="2" a="1"/>
  <c r="K730" i="2" s="1"/>
  <c r="K731" i="2" a="1"/>
  <c r="K731" i="2" s="1"/>
  <c r="K732" i="2" a="1"/>
  <c r="K732" i="2" s="1"/>
  <c r="K733" i="2" a="1"/>
  <c r="K733" i="2"/>
  <c r="K734" i="2" a="1"/>
  <c r="K734" i="2" s="1"/>
  <c r="K735" i="2" a="1"/>
  <c r="K735" i="2" s="1"/>
  <c r="K736" i="2" a="1"/>
  <c r="K736" i="2" s="1"/>
  <c r="K737" i="2" a="1"/>
  <c r="K737" i="2" s="1"/>
  <c r="K738" i="2" a="1"/>
  <c r="K738" i="2" s="1"/>
  <c r="K739" i="2" a="1"/>
  <c r="K739" i="2" s="1"/>
  <c r="K740" i="2" a="1"/>
  <c r="K740" i="2" s="1"/>
  <c r="K741" i="2" a="1"/>
  <c r="K741" i="2" s="1"/>
  <c r="K742" i="2" a="1"/>
  <c r="K742" i="2"/>
  <c r="K743" i="2" a="1"/>
  <c r="K743" i="2" s="1"/>
  <c r="K744" i="2" a="1"/>
  <c r="K744" i="2"/>
  <c r="K745" i="2" a="1"/>
  <c r="K745" i="2" s="1"/>
  <c r="K746" i="2" a="1"/>
  <c r="K746" i="2" s="1"/>
  <c r="K747" i="2" a="1"/>
  <c r="K747" i="2" s="1"/>
  <c r="K748" i="2" a="1"/>
  <c r="K748" i="2" s="1"/>
  <c r="K749" i="2" a="1"/>
  <c r="K749" i="2" s="1"/>
  <c r="K750" i="2" a="1"/>
  <c r="K750" i="2" s="1"/>
  <c r="K751" i="2" a="1"/>
  <c r="K751" i="2" s="1"/>
  <c r="K752" i="2" a="1"/>
  <c r="K752" i="2" s="1"/>
  <c r="K753" i="2" a="1"/>
  <c r="K753" i="2"/>
  <c r="K754" i="2" a="1"/>
  <c r="K754" i="2"/>
  <c r="K755" i="2" a="1"/>
  <c r="K755" i="2" s="1"/>
  <c r="K756" i="2" a="1"/>
  <c r="K756" i="2" s="1"/>
  <c r="K757" i="2" a="1"/>
  <c r="K757" i="2" s="1"/>
  <c r="K758" i="2" a="1"/>
  <c r="K758" i="2" s="1"/>
  <c r="K759" i="2" a="1"/>
  <c r="K759" i="2"/>
  <c r="K760" i="2" a="1"/>
  <c r="K760" i="2"/>
  <c r="K761" i="2" a="1"/>
  <c r="K761" i="2" s="1"/>
  <c r="K762" i="2" a="1"/>
  <c r="K762" i="2"/>
  <c r="K763" i="2" a="1"/>
  <c r="K763" i="2" s="1"/>
  <c r="K764" i="2" a="1"/>
  <c r="K764" i="2" s="1"/>
  <c r="K765" i="2" a="1"/>
  <c r="K765" i="2"/>
  <c r="K766" i="2" a="1"/>
  <c r="K766" i="2"/>
  <c r="K767" i="2" a="1"/>
  <c r="K767" i="2" s="1"/>
  <c r="K768" i="2" a="1"/>
  <c r="K768" i="2" s="1"/>
  <c r="K769" i="2" a="1"/>
  <c r="K769" i="2" s="1"/>
  <c r="K770" i="2" a="1"/>
  <c r="K770" i="2" s="1"/>
  <c r="K771" i="2" a="1"/>
  <c r="K771" i="2"/>
  <c r="K772" i="2" a="1"/>
  <c r="K772" i="2" s="1"/>
  <c r="K773" i="2" a="1"/>
  <c r="K773" i="2" s="1"/>
  <c r="K774" i="2" a="1"/>
  <c r="K774" i="2" s="1"/>
  <c r="K775" i="2" a="1"/>
  <c r="K775" i="2" s="1"/>
  <c r="K776" i="2" a="1"/>
  <c r="K776" i="2" s="1"/>
  <c r="K777" i="2" a="1"/>
  <c r="K777" i="2" s="1"/>
  <c r="K778" i="2" a="1"/>
  <c r="K778" i="2" s="1"/>
  <c r="K779" i="2" a="1"/>
  <c r="K779" i="2" s="1"/>
  <c r="K780" i="2" a="1"/>
  <c r="K780" i="2" s="1"/>
  <c r="K781" i="2" a="1"/>
  <c r="K781" i="2" s="1"/>
  <c r="K782" i="2" a="1"/>
  <c r="K782" i="2" s="1"/>
  <c r="K783" i="2" a="1"/>
  <c r="K783" i="2"/>
  <c r="K784" i="2" a="1"/>
  <c r="K784" i="2" s="1"/>
  <c r="K785" i="2" a="1"/>
  <c r="K785" i="2" s="1"/>
  <c r="K786" i="2" a="1"/>
  <c r="K786" i="2" s="1"/>
  <c r="K787" i="2" a="1"/>
  <c r="K787" i="2"/>
  <c r="K788" i="2" a="1"/>
  <c r="K788" i="2" s="1"/>
  <c r="K789" i="2" a="1"/>
  <c r="K789" i="2" s="1"/>
  <c r="K790" i="2" a="1"/>
  <c r="K790" i="2" s="1"/>
  <c r="K791" i="2" a="1"/>
  <c r="K791" i="2" s="1"/>
  <c r="K792" i="2" a="1"/>
  <c r="K792" i="2" s="1"/>
  <c r="K793" i="2" a="1"/>
  <c r="K793" i="2" s="1"/>
  <c r="K794" i="2" a="1"/>
  <c r="K794" i="2" s="1"/>
  <c r="K795" i="2" a="1"/>
  <c r="K795" i="2" s="1"/>
  <c r="K796" i="2" a="1"/>
  <c r="K796" i="2"/>
  <c r="K797" i="2" a="1"/>
  <c r="K797" i="2" s="1"/>
  <c r="K798" i="2" a="1"/>
  <c r="K798" i="2"/>
  <c r="K799" i="2" a="1"/>
  <c r="K799" i="2" s="1"/>
  <c r="K800" i="2" a="1"/>
  <c r="K800" i="2" s="1"/>
  <c r="K801" i="2" a="1"/>
  <c r="K801" i="2" s="1"/>
  <c r="K802" i="2" a="1"/>
  <c r="K802" i="2"/>
  <c r="K803" i="2" a="1"/>
  <c r="K803" i="2" s="1"/>
  <c r="K804" i="2" a="1"/>
  <c r="K804" i="2" s="1"/>
  <c r="K805" i="2" a="1"/>
  <c r="K805" i="2" s="1"/>
  <c r="K806" i="2" a="1"/>
  <c r="K806" i="2" s="1"/>
  <c r="K807" i="2" a="1"/>
  <c r="K807" i="2" s="1"/>
  <c r="K808" i="2" a="1"/>
  <c r="K808" i="2"/>
  <c r="K809" i="2" a="1"/>
  <c r="K809" i="2" s="1"/>
  <c r="K810" i="2" a="1"/>
  <c r="K810" i="2" s="1"/>
  <c r="K811" i="2" a="1"/>
  <c r="K811" i="2" s="1"/>
  <c r="K812" i="2" a="1"/>
  <c r="K812" i="2" s="1"/>
  <c r="K813" i="2" a="1"/>
  <c r="K813" i="2"/>
  <c r="K814" i="2" a="1"/>
  <c r="K814" i="2"/>
  <c r="K815" i="2" a="1"/>
  <c r="K815" i="2" s="1"/>
  <c r="K816" i="2" a="1"/>
  <c r="K816" i="2" s="1"/>
  <c r="K817" i="2" a="1"/>
  <c r="K817" i="2" s="1"/>
  <c r="K818" i="2" a="1"/>
  <c r="K818" i="2" s="1"/>
  <c r="K819" i="2" a="1"/>
  <c r="K819" i="2" s="1"/>
  <c r="K820" i="2" a="1"/>
  <c r="K820" i="2" s="1"/>
  <c r="K821" i="2" a="1"/>
  <c r="K821" i="2" s="1"/>
  <c r="K822" i="2" a="1"/>
  <c r="K822" i="2" s="1"/>
  <c r="K823" i="2" a="1"/>
  <c r="K823" i="2" s="1"/>
  <c r="K824" i="2" a="1"/>
  <c r="K824" i="2" s="1"/>
  <c r="K825" i="2" a="1"/>
  <c r="K825" i="2" s="1"/>
  <c r="K826" i="2" a="1"/>
  <c r="K826" i="2" s="1"/>
  <c r="K827" i="2" a="1"/>
  <c r="K827" i="2" s="1"/>
  <c r="K828" i="2" a="1"/>
  <c r="K828" i="2" s="1"/>
  <c r="K829" i="2" a="1"/>
  <c r="K829" i="2" s="1"/>
  <c r="K830" i="2" a="1"/>
  <c r="K830" i="2" s="1"/>
  <c r="K831" i="2" a="1"/>
  <c r="K831" i="2" s="1"/>
  <c r="K832" i="2" a="1"/>
  <c r="K832" i="2" s="1"/>
  <c r="K833" i="2" a="1"/>
  <c r="K833" i="2" s="1"/>
  <c r="K834" i="2" a="1"/>
  <c r="K834" i="2" s="1"/>
  <c r="K835" i="2" a="1"/>
  <c r="K835" i="2" s="1"/>
  <c r="K836" i="2" a="1"/>
  <c r="K836" i="2" s="1"/>
  <c r="K837" i="2" a="1"/>
  <c r="K837" i="2" s="1"/>
  <c r="K838" i="2" a="1"/>
  <c r="K838" i="2" s="1"/>
  <c r="K839" i="2" a="1"/>
  <c r="K839" i="2" s="1"/>
  <c r="K840" i="2" a="1"/>
  <c r="K840" i="2" s="1"/>
  <c r="K841" i="2" a="1"/>
  <c r="K841" i="2" s="1"/>
  <c r="K842" i="2" a="1"/>
  <c r="K842" i="2" s="1"/>
  <c r="K843" i="2" a="1"/>
  <c r="K843" i="2" s="1"/>
  <c r="K844" i="2" a="1"/>
  <c r="K844" i="2" s="1"/>
  <c r="K845" i="2" a="1"/>
  <c r="K845" i="2" s="1"/>
  <c r="K846" i="2" a="1"/>
  <c r="K846" i="2" s="1"/>
  <c r="K847" i="2" a="1"/>
  <c r="K847" i="2" s="1"/>
  <c r="K848" i="2" a="1"/>
  <c r="K848" i="2" s="1"/>
  <c r="K849" i="2" a="1"/>
  <c r="K849" i="2" s="1"/>
  <c r="K850" i="2" a="1"/>
  <c r="K850" i="2" s="1"/>
  <c r="K851" i="2" a="1"/>
  <c r="K851" i="2" s="1"/>
  <c r="K852" i="2" a="1"/>
  <c r="K852" i="2" s="1"/>
  <c r="K853" i="2" a="1"/>
  <c r="K853" i="2" s="1"/>
  <c r="K854" i="2" a="1"/>
  <c r="K854" i="2" s="1"/>
  <c r="K855" i="2" a="1"/>
  <c r="K855" i="2" s="1"/>
  <c r="K856" i="2" a="1"/>
  <c r="K856" i="2" s="1"/>
  <c r="K857" i="2" a="1"/>
  <c r="K857" i="2" s="1"/>
  <c r="K858" i="2" a="1"/>
  <c r="K858" i="2" s="1"/>
  <c r="K859" i="2" a="1"/>
  <c r="K859" i="2" s="1"/>
  <c r="K860" i="2" a="1"/>
  <c r="K860" i="2" s="1"/>
  <c r="K861" i="2" a="1"/>
  <c r="K861" i="2" s="1"/>
  <c r="K862" i="2" a="1"/>
  <c r="K862" i="2" s="1"/>
  <c r="K863" i="2" a="1"/>
  <c r="K863" i="2" s="1"/>
  <c r="K864" i="2" a="1"/>
  <c r="K864" i="2" s="1"/>
  <c r="K865" i="2" a="1"/>
  <c r="K865" i="2" s="1"/>
  <c r="K866" i="2" a="1"/>
  <c r="K866" i="2" s="1"/>
  <c r="K867" i="2" a="1"/>
  <c r="K867" i="2" s="1"/>
  <c r="K868" i="2" a="1"/>
  <c r="K868" i="2" s="1"/>
  <c r="K869" i="2" a="1"/>
  <c r="K869" i="2" s="1"/>
  <c r="K870" i="2" a="1"/>
  <c r="K870" i="2" s="1"/>
  <c r="K871" i="2" a="1"/>
  <c r="K871" i="2" s="1"/>
  <c r="K872" i="2" a="1"/>
  <c r="K872" i="2" s="1"/>
  <c r="K873" i="2" a="1"/>
  <c r="K873" i="2" s="1"/>
  <c r="K874" i="2" a="1"/>
  <c r="K874" i="2" s="1"/>
  <c r="K875" i="2" a="1"/>
  <c r="K875" i="2" s="1"/>
  <c r="K876" i="2" a="1"/>
  <c r="K876" i="2" s="1"/>
  <c r="K877" i="2" a="1"/>
  <c r="K877" i="2" s="1"/>
  <c r="K878" i="2" a="1"/>
  <c r="K878" i="2" s="1"/>
  <c r="K879" i="2" a="1"/>
  <c r="K879" i="2" s="1"/>
  <c r="K880" i="2" a="1"/>
  <c r="K880" i="2" s="1"/>
  <c r="K881" i="2" a="1"/>
  <c r="K881" i="2" s="1"/>
  <c r="K882" i="2" a="1"/>
  <c r="K882" i="2" s="1"/>
  <c r="K883" i="2" a="1"/>
  <c r="K883" i="2" s="1"/>
  <c r="K884" i="2" a="1"/>
  <c r="K884" i="2" s="1"/>
  <c r="K885" i="2" a="1"/>
  <c r="K885" i="2" s="1"/>
  <c r="K886" i="2" a="1"/>
  <c r="K886" i="2" s="1"/>
  <c r="K887" i="2" a="1"/>
  <c r="K887" i="2" s="1"/>
  <c r="K888" i="2" a="1"/>
  <c r="K888" i="2" s="1"/>
  <c r="K889" i="2" a="1"/>
  <c r="K889" i="2" s="1"/>
  <c r="K890" i="2" a="1"/>
  <c r="K890" i="2" s="1"/>
  <c r="K891" i="2" a="1"/>
  <c r="K891" i="2" s="1"/>
  <c r="K892" i="2" a="1"/>
  <c r="K892" i="2" s="1"/>
  <c r="K893" i="2" a="1"/>
  <c r="K893" i="2" s="1"/>
  <c r="K894" i="2" a="1"/>
  <c r="K894" i="2" s="1"/>
  <c r="K895" i="2" a="1"/>
  <c r="K895" i="2" s="1"/>
  <c r="K896" i="2" a="1"/>
  <c r="K896" i="2" s="1"/>
  <c r="K897" i="2" a="1"/>
  <c r="K897" i="2" s="1"/>
  <c r="K898" i="2" a="1"/>
  <c r="K898" i="2" s="1"/>
  <c r="K899" i="2" a="1"/>
  <c r="K899" i="2" s="1"/>
  <c r="K900" i="2" a="1"/>
  <c r="K900" i="2" s="1"/>
  <c r="K901" i="2" a="1"/>
  <c r="K901" i="2" s="1"/>
  <c r="K902" i="2" a="1"/>
  <c r="K902" i="2" s="1"/>
  <c r="K903" i="2" a="1"/>
  <c r="K903" i="2" s="1"/>
  <c r="K904" i="2" a="1"/>
  <c r="K904" i="2" s="1"/>
  <c r="K905" i="2" a="1"/>
  <c r="K905" i="2" s="1"/>
  <c r="K906" i="2" a="1"/>
  <c r="K906" i="2" s="1"/>
  <c r="K907" i="2" a="1"/>
  <c r="K907" i="2" s="1"/>
  <c r="K908" i="2" a="1"/>
  <c r="K908" i="2" s="1"/>
  <c r="K909" i="2" a="1"/>
  <c r="K909" i="2" s="1"/>
  <c r="K910" i="2" a="1"/>
  <c r="K910" i="2" s="1"/>
  <c r="K911" i="2" a="1"/>
  <c r="K911" i="2" s="1"/>
  <c r="K912" i="2" a="1"/>
  <c r="K912" i="2" s="1"/>
  <c r="K913" i="2" a="1"/>
  <c r="K913" i="2" s="1"/>
  <c r="K914" i="2" a="1"/>
  <c r="K914" i="2" s="1"/>
  <c r="K915" i="2" a="1"/>
  <c r="K915" i="2" s="1"/>
  <c r="K916" i="2" a="1"/>
  <c r="K916" i="2" s="1"/>
  <c r="K917" i="2" a="1"/>
  <c r="K917" i="2" s="1"/>
  <c r="K918" i="2" a="1"/>
  <c r="K918" i="2" s="1"/>
  <c r="K919" i="2" a="1"/>
  <c r="K919" i="2" s="1"/>
  <c r="K920" i="2" a="1"/>
  <c r="K920" i="2" s="1"/>
  <c r="K921" i="2" a="1"/>
  <c r="K921" i="2" s="1"/>
  <c r="K922" i="2" a="1"/>
  <c r="K922" i="2" s="1"/>
  <c r="K923" i="2" a="1"/>
  <c r="K923" i="2" s="1"/>
  <c r="K924" i="2" a="1"/>
  <c r="K924" i="2" s="1"/>
  <c r="K925" i="2" a="1"/>
  <c r="K925" i="2" s="1"/>
  <c r="K926" i="2" a="1"/>
  <c r="K926" i="2" s="1"/>
  <c r="K927" i="2" a="1"/>
  <c r="K927" i="2" s="1"/>
  <c r="K928" i="2" a="1"/>
  <c r="K928" i="2" s="1"/>
  <c r="K929" i="2" a="1"/>
  <c r="K929" i="2" s="1"/>
  <c r="K930" i="2" a="1"/>
  <c r="K930" i="2" s="1"/>
  <c r="K931" i="2" a="1"/>
  <c r="K931" i="2" s="1"/>
  <c r="K932" i="2" a="1"/>
  <c r="K932" i="2" s="1"/>
  <c r="K933" i="2" a="1"/>
  <c r="K933" i="2" s="1"/>
  <c r="K934" i="2" a="1"/>
  <c r="K934" i="2" s="1"/>
  <c r="K935" i="2" a="1"/>
  <c r="K935" i="2" s="1"/>
  <c r="K936" i="2" a="1"/>
  <c r="K936" i="2" s="1"/>
  <c r="K937" i="2" a="1"/>
  <c r="K937" i="2" s="1"/>
  <c r="K938" i="2" a="1"/>
  <c r="K938" i="2" s="1"/>
  <c r="K939" i="2" a="1"/>
  <c r="K939" i="2" s="1"/>
  <c r="K940" i="2" a="1"/>
  <c r="K940" i="2" s="1"/>
  <c r="K941" i="2" a="1"/>
  <c r="K941" i="2" s="1"/>
  <c r="K942" i="2" a="1"/>
  <c r="K942" i="2" s="1"/>
  <c r="K943" i="2" a="1"/>
  <c r="K943" i="2" s="1"/>
  <c r="K944" i="2" a="1"/>
  <c r="K944" i="2" s="1"/>
  <c r="K945" i="2" a="1"/>
  <c r="K945" i="2" s="1"/>
  <c r="K946" i="2" a="1"/>
  <c r="K946" i="2" s="1"/>
  <c r="K947" i="2" a="1"/>
  <c r="K947" i="2" s="1"/>
  <c r="K948" i="2" a="1"/>
  <c r="K948" i="2" s="1"/>
  <c r="K949" i="2" a="1"/>
  <c r="K949" i="2" s="1"/>
  <c r="K950" i="2" a="1"/>
  <c r="K950" i="2" s="1"/>
  <c r="K951" i="2" a="1"/>
  <c r="K951" i="2" s="1"/>
  <c r="K952" i="2" a="1"/>
  <c r="K952" i="2" s="1"/>
  <c r="K953" i="2" a="1"/>
  <c r="K953" i="2" s="1"/>
  <c r="K954" i="2" a="1"/>
  <c r="K954" i="2" s="1"/>
  <c r="K955" i="2" a="1"/>
  <c r="K955" i="2" s="1"/>
  <c r="K956" i="2" a="1"/>
  <c r="K956" i="2" s="1"/>
  <c r="K957" i="2" a="1"/>
  <c r="K957" i="2" s="1"/>
  <c r="K958" i="2" a="1"/>
  <c r="K958" i="2" s="1"/>
  <c r="K959" i="2" a="1"/>
  <c r="K959" i="2" s="1"/>
  <c r="K960" i="2" a="1"/>
  <c r="K960" i="2" s="1"/>
  <c r="K961" i="2" a="1"/>
  <c r="K961" i="2" s="1"/>
  <c r="K962" i="2" a="1"/>
  <c r="K962" i="2" s="1"/>
  <c r="K963" i="2" a="1"/>
  <c r="K963" i="2" s="1"/>
  <c r="K964" i="2" a="1"/>
  <c r="K964" i="2" s="1"/>
  <c r="K965" i="2" a="1"/>
  <c r="K965" i="2" s="1"/>
  <c r="K966" i="2" a="1"/>
  <c r="K966" i="2" s="1"/>
  <c r="K967" i="2" a="1"/>
  <c r="K967" i="2" s="1"/>
  <c r="K968" i="2" a="1"/>
  <c r="K968" i="2" s="1"/>
  <c r="K969" i="2" a="1"/>
  <c r="K969" i="2" s="1"/>
  <c r="K970" i="2" a="1"/>
  <c r="K970" i="2" s="1"/>
  <c r="K971" i="2" a="1"/>
  <c r="K971" i="2" s="1"/>
  <c r="K972" i="2" a="1"/>
  <c r="K972" i="2" s="1"/>
  <c r="K973" i="2" a="1"/>
  <c r="K973" i="2" s="1"/>
  <c r="K974" i="2" a="1"/>
  <c r="K974" i="2" s="1"/>
  <c r="K975" i="2" a="1"/>
  <c r="K975" i="2" s="1"/>
  <c r="K976" i="2" a="1"/>
  <c r="K976" i="2" s="1"/>
  <c r="K977" i="2" a="1"/>
  <c r="K977" i="2" s="1"/>
  <c r="K978" i="2" a="1"/>
  <c r="K978" i="2" s="1"/>
  <c r="K979" i="2" a="1"/>
  <c r="K979" i="2" s="1"/>
  <c r="K980" i="2" a="1"/>
  <c r="K980" i="2" s="1"/>
  <c r="K981" i="2" a="1"/>
  <c r="K981" i="2" s="1"/>
  <c r="K982" i="2" a="1"/>
  <c r="K982" i="2" s="1"/>
  <c r="K983" i="2" a="1"/>
  <c r="K983" i="2" s="1"/>
  <c r="K984" i="2" a="1"/>
  <c r="K984" i="2" s="1"/>
  <c r="K985" i="2" a="1"/>
  <c r="K985" i="2" s="1"/>
  <c r="K986" i="2" a="1"/>
  <c r="K986" i="2" s="1"/>
  <c r="K987" i="2" a="1"/>
  <c r="K987" i="2"/>
  <c r="K988" i="2" a="1"/>
  <c r="K988" i="2"/>
  <c r="K989" i="2" a="1"/>
  <c r="K989" i="2" s="1"/>
  <c r="K990" i="2" a="1"/>
  <c r="K990" i="2"/>
  <c r="K991" i="2" a="1"/>
  <c r="K991" i="2" s="1"/>
  <c r="K992" i="2" a="1"/>
  <c r="K992" i="2" s="1"/>
  <c r="K993" i="2" a="1"/>
  <c r="K993" i="2"/>
  <c r="K994" i="2" a="1"/>
  <c r="K994" i="2"/>
  <c r="K995" i="2" a="1"/>
  <c r="K995" i="2" s="1"/>
  <c r="K996" i="2" a="1"/>
  <c r="K996" i="2" s="1"/>
  <c r="K997" i="2" a="1"/>
  <c r="K997" i="2"/>
  <c r="K998" i="2" a="1"/>
  <c r="K998" i="2" s="1"/>
  <c r="K999" i="2" a="1"/>
  <c r="K999" i="2"/>
  <c r="K1000" i="2" a="1"/>
  <c r="K1000" i="2"/>
  <c r="K1001" i="2" a="1"/>
  <c r="K1001" i="2" s="1"/>
  <c r="K1002" i="2" a="1"/>
  <c r="K1002" i="2" s="1"/>
  <c r="K1003" i="2" a="1"/>
  <c r="K1003" i="2" s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<sst xmlns="http://schemas.openxmlformats.org/spreadsheetml/2006/main" count="3061" uniqueCount="1040">
  <si>
    <t>Customer ID</t>
  </si>
  <si>
    <t>Duration</t>
  </si>
  <si>
    <t>Purchase Amount</t>
  </si>
  <si>
    <t>Representative</t>
  </si>
  <si>
    <t>Date of Call</t>
  </si>
  <si>
    <t>C0008</t>
  </si>
  <si>
    <t>R03</t>
  </si>
  <si>
    <t>C0006</t>
  </si>
  <si>
    <t>C0011</t>
  </si>
  <si>
    <t>R02</t>
  </si>
  <si>
    <t>R05</t>
  </si>
  <si>
    <t>R01</t>
  </si>
  <si>
    <t>C0004</t>
  </si>
  <si>
    <t>R04</t>
  </si>
  <si>
    <t>C0013</t>
  </si>
  <si>
    <t>C0007</t>
  </si>
  <si>
    <t>C0012</t>
  </si>
  <si>
    <t>C0001</t>
  </si>
  <si>
    <t>C0010</t>
  </si>
  <si>
    <t>C0015</t>
  </si>
  <si>
    <t>C0003</t>
  </si>
  <si>
    <t>C0014</t>
  </si>
  <si>
    <t>C0009</t>
  </si>
  <si>
    <t>C0005</t>
  </si>
  <si>
    <t>C0002</t>
  </si>
  <si>
    <t>Call number</t>
  </si>
  <si>
    <t>Call_7271</t>
  </si>
  <si>
    <t>Call_7272</t>
  </si>
  <si>
    <t>Call_7273</t>
  </si>
  <si>
    <t>Call_7274</t>
  </si>
  <si>
    <t>Call_7275</t>
  </si>
  <si>
    <t>Call_7276</t>
  </si>
  <si>
    <t>Call_7277</t>
  </si>
  <si>
    <t>Call_7278</t>
  </si>
  <si>
    <t>Call_7279</t>
  </si>
  <si>
    <t>Call_7280</t>
  </si>
  <si>
    <t>Call_7281</t>
  </si>
  <si>
    <t>Call_7282</t>
  </si>
  <si>
    <t>Call_7283</t>
  </si>
  <si>
    <t>Call_7284</t>
  </si>
  <si>
    <t>Call_7285</t>
  </si>
  <si>
    <t>Call_7286</t>
  </si>
  <si>
    <t>Call_7287</t>
  </si>
  <si>
    <t>Call_7288</t>
  </si>
  <si>
    <t>Call_7289</t>
  </si>
  <si>
    <t>Call_7290</t>
  </si>
  <si>
    <t>Call_7291</t>
  </si>
  <si>
    <t>Call_7292</t>
  </si>
  <si>
    <t>Call_7293</t>
  </si>
  <si>
    <t>Call_7294</t>
  </si>
  <si>
    <t>Call_7295</t>
  </si>
  <si>
    <t>Call_7296</t>
  </si>
  <si>
    <t>Call_7297</t>
  </si>
  <si>
    <t>Call_7298</t>
  </si>
  <si>
    <t>Call_7299</t>
  </si>
  <si>
    <t>Call_7300</t>
  </si>
  <si>
    <t>Call_7301</t>
  </si>
  <si>
    <t>Call_7302</t>
  </si>
  <si>
    <t>Call_7303</t>
  </si>
  <si>
    <t>Call_7304</t>
  </si>
  <si>
    <t>Call_7305</t>
  </si>
  <si>
    <t>Call_7306</t>
  </si>
  <si>
    <t>Call_7307</t>
  </si>
  <si>
    <t>Call_7308</t>
  </si>
  <si>
    <t>Call_7309</t>
  </si>
  <si>
    <t>Call_7310</t>
  </si>
  <si>
    <t>Call_7311</t>
  </si>
  <si>
    <t>Call_7312</t>
  </si>
  <si>
    <t>Call_7313</t>
  </si>
  <si>
    <t>Call_7314</t>
  </si>
  <si>
    <t>Call_7315</t>
  </si>
  <si>
    <t>Call_7316</t>
  </si>
  <si>
    <t>Call_7317</t>
  </si>
  <si>
    <t>Call_7318</t>
  </si>
  <si>
    <t>Call_7319</t>
  </si>
  <si>
    <t>Call_7320</t>
  </si>
  <si>
    <t>Call_7321</t>
  </si>
  <si>
    <t>Call_7322</t>
  </si>
  <si>
    <t>Call_7323</t>
  </si>
  <si>
    <t>Call_7324</t>
  </si>
  <si>
    <t>Call_7325</t>
  </si>
  <si>
    <t>Call_7326</t>
  </si>
  <si>
    <t>Call_7327</t>
  </si>
  <si>
    <t>Call_7328</t>
  </si>
  <si>
    <t>Call_7329</t>
  </si>
  <si>
    <t>Call_7330</t>
  </si>
  <si>
    <t>Call_7331</t>
  </si>
  <si>
    <t>Call_7332</t>
  </si>
  <si>
    <t>Call_7333</t>
  </si>
  <si>
    <t>Call_7334</t>
  </si>
  <si>
    <t>Call_7335</t>
  </si>
  <si>
    <t>Call_7336</t>
  </si>
  <si>
    <t>Call_7337</t>
  </si>
  <si>
    <t>Call_7338</t>
  </si>
  <si>
    <t>Call_7339</t>
  </si>
  <si>
    <t>Call_7340</t>
  </si>
  <si>
    <t>Call_7341</t>
  </si>
  <si>
    <t>Call_7342</t>
  </si>
  <si>
    <t>Call_7343</t>
  </si>
  <si>
    <t>Call_7344</t>
  </si>
  <si>
    <t>Call_7345</t>
  </si>
  <si>
    <t>Call_7346</t>
  </si>
  <si>
    <t>Call_7347</t>
  </si>
  <si>
    <t>Call_7348</t>
  </si>
  <si>
    <t>Call_7349</t>
  </si>
  <si>
    <t>Call_7350</t>
  </si>
  <si>
    <t>Call_7351</t>
  </si>
  <si>
    <t>Call_7352</t>
  </si>
  <si>
    <t>Call_7353</t>
  </si>
  <si>
    <t>Call_7354</t>
  </si>
  <si>
    <t>Call_7355</t>
  </si>
  <si>
    <t>Call_7356</t>
  </si>
  <si>
    <t>Call_7357</t>
  </si>
  <si>
    <t>Call_7358</t>
  </si>
  <si>
    <t>Call_7359</t>
  </si>
  <si>
    <t>Call_7360</t>
  </si>
  <si>
    <t>Call_7361</t>
  </si>
  <si>
    <t>Call_7362</t>
  </si>
  <si>
    <t>Call_7363</t>
  </si>
  <si>
    <t>Call_7364</t>
  </si>
  <si>
    <t>Call_7365</t>
  </si>
  <si>
    <t>Call_7366</t>
  </si>
  <si>
    <t>Call_7367</t>
  </si>
  <si>
    <t>Call_7368</t>
  </si>
  <si>
    <t>Call_7369</t>
  </si>
  <si>
    <t>Call_7370</t>
  </si>
  <si>
    <t>Call_7371</t>
  </si>
  <si>
    <t>Call_7372</t>
  </si>
  <si>
    <t>Call_7373</t>
  </si>
  <si>
    <t>Call_7374</t>
  </si>
  <si>
    <t>Call_7375</t>
  </si>
  <si>
    <t>Call_7376</t>
  </si>
  <si>
    <t>Call_7377</t>
  </si>
  <si>
    <t>Call_7378</t>
  </si>
  <si>
    <t>Call_7379</t>
  </si>
  <si>
    <t>Call_7380</t>
  </si>
  <si>
    <t>Call_7381</t>
  </si>
  <si>
    <t>Call_7382</t>
  </si>
  <si>
    <t>Call_7383</t>
  </si>
  <si>
    <t>Call_7384</t>
  </si>
  <si>
    <t>Call_7385</t>
  </si>
  <si>
    <t>Call_7386</t>
  </si>
  <si>
    <t>Call_7387</t>
  </si>
  <si>
    <t>Call_7388</t>
  </si>
  <si>
    <t>Call_7389</t>
  </si>
  <si>
    <t>Call_7390</t>
  </si>
  <si>
    <t>Call_7391</t>
  </si>
  <si>
    <t>Call_7392</t>
  </si>
  <si>
    <t>Call_7393</t>
  </si>
  <si>
    <t>Call_7394</t>
  </si>
  <si>
    <t>Call_7395</t>
  </si>
  <si>
    <t>Call_7396</t>
  </si>
  <si>
    <t>Call_7397</t>
  </si>
  <si>
    <t>Call_7398</t>
  </si>
  <si>
    <t>Call_7399</t>
  </si>
  <si>
    <t>Call_7400</t>
  </si>
  <si>
    <t>Call_7401</t>
  </si>
  <si>
    <t>Call_7402</t>
  </si>
  <si>
    <t>Call_7403</t>
  </si>
  <si>
    <t>Call_7404</t>
  </si>
  <si>
    <t>Call_7405</t>
  </si>
  <si>
    <t>Call_7406</t>
  </si>
  <si>
    <t>Call_7407</t>
  </si>
  <si>
    <t>Call_7408</t>
  </si>
  <si>
    <t>Call_7409</t>
  </si>
  <si>
    <t>Call_7410</t>
  </si>
  <si>
    <t>Call_7411</t>
  </si>
  <si>
    <t>Call_7412</t>
  </si>
  <si>
    <t>Call_7413</t>
  </si>
  <si>
    <t>Call_7414</t>
  </si>
  <si>
    <t>Call_7415</t>
  </si>
  <si>
    <t>Call_7416</t>
  </si>
  <si>
    <t>Call_7417</t>
  </si>
  <si>
    <t>Call_7418</t>
  </si>
  <si>
    <t>Call_7419</t>
  </si>
  <si>
    <t>Call_7420</t>
  </si>
  <si>
    <t>Call_7421</t>
  </si>
  <si>
    <t>Call_7422</t>
  </si>
  <si>
    <t>Call_7423</t>
  </si>
  <si>
    <t>Call_7424</t>
  </si>
  <si>
    <t>Call_7425</t>
  </si>
  <si>
    <t>Call_7426</t>
  </si>
  <si>
    <t>Call_7427</t>
  </si>
  <si>
    <t>Call_7428</t>
  </si>
  <si>
    <t>Call_7429</t>
  </si>
  <si>
    <t>Call_7430</t>
  </si>
  <si>
    <t>Call_7431</t>
  </si>
  <si>
    <t>Call_7432</t>
  </si>
  <si>
    <t>Call_7433</t>
  </si>
  <si>
    <t>Call_7434</t>
  </si>
  <si>
    <t>Call_7435</t>
  </si>
  <si>
    <t>Call_7436</t>
  </si>
  <si>
    <t>Call_7437</t>
  </si>
  <si>
    <t>Call_7438</t>
  </si>
  <si>
    <t>Call_7439</t>
  </si>
  <si>
    <t>Call_7440</t>
  </si>
  <si>
    <t>Call_7441</t>
  </si>
  <si>
    <t>Call_7442</t>
  </si>
  <si>
    <t>Call_7443</t>
  </si>
  <si>
    <t>Call_7444</t>
  </si>
  <si>
    <t>Call_7445</t>
  </si>
  <si>
    <t>Call_7446</t>
  </si>
  <si>
    <t>Call_7447</t>
  </si>
  <si>
    <t>Call_7448</t>
  </si>
  <si>
    <t>Call_7449</t>
  </si>
  <si>
    <t>Call_7450</t>
  </si>
  <si>
    <t>Call_7451</t>
  </si>
  <si>
    <t>Call_7452</t>
  </si>
  <si>
    <t>Call_7453</t>
  </si>
  <si>
    <t>Call_7454</t>
  </si>
  <si>
    <t>Call_7455</t>
  </si>
  <si>
    <t>Call_7456</t>
  </si>
  <si>
    <t>Call_7457</t>
  </si>
  <si>
    <t>Call_7458</t>
  </si>
  <si>
    <t>Call_7459</t>
  </si>
  <si>
    <t>Call_7460</t>
  </si>
  <si>
    <t>Call_7461</t>
  </si>
  <si>
    <t>Call_7462</t>
  </si>
  <si>
    <t>Call_7463</t>
  </si>
  <si>
    <t>Call_7464</t>
  </si>
  <si>
    <t>Call_7465</t>
  </si>
  <si>
    <t>Call_7466</t>
  </si>
  <si>
    <t>Call_7467</t>
  </si>
  <si>
    <t>Call_7468</t>
  </si>
  <si>
    <t>Call_7469</t>
  </si>
  <si>
    <t>Call_7470</t>
  </si>
  <si>
    <t>Call_7471</t>
  </si>
  <si>
    <t>Call_7472</t>
  </si>
  <si>
    <t>Call_7473</t>
  </si>
  <si>
    <t>Call_7474</t>
  </si>
  <si>
    <t>Call_7475</t>
  </si>
  <si>
    <t>Call_7476</t>
  </si>
  <si>
    <t>Call_7477</t>
  </si>
  <si>
    <t>Call_7478</t>
  </si>
  <si>
    <t>Call_7479</t>
  </si>
  <si>
    <t>Call_7480</t>
  </si>
  <si>
    <t>Call_7481</t>
  </si>
  <si>
    <t>Call_7482</t>
  </si>
  <si>
    <t>Call_7483</t>
  </si>
  <si>
    <t>Call_7484</t>
  </si>
  <si>
    <t>Call_7485</t>
  </si>
  <si>
    <t>Call_7486</t>
  </si>
  <si>
    <t>Call_7487</t>
  </si>
  <si>
    <t>Call_7488</t>
  </si>
  <si>
    <t>Call_7489</t>
  </si>
  <si>
    <t>Call_7490</t>
  </si>
  <si>
    <t>Call_7491</t>
  </si>
  <si>
    <t>Call_7492</t>
  </si>
  <si>
    <t>Call_7493</t>
  </si>
  <si>
    <t>Call_7494</t>
  </si>
  <si>
    <t>Call_7495</t>
  </si>
  <si>
    <t>Call_7496</t>
  </si>
  <si>
    <t>Call_7497</t>
  </si>
  <si>
    <t>Call_7498</t>
  </si>
  <si>
    <t>Call_7499</t>
  </si>
  <si>
    <t>Call_7500</t>
  </si>
  <si>
    <t>Call_7501</t>
  </si>
  <si>
    <t>Call_7502</t>
  </si>
  <si>
    <t>Call_7503</t>
  </si>
  <si>
    <t>Call_7504</t>
  </si>
  <si>
    <t>Call_7505</t>
  </si>
  <si>
    <t>Call_7506</t>
  </si>
  <si>
    <t>Call_7507</t>
  </si>
  <si>
    <t>Call_7508</t>
  </si>
  <si>
    <t>Call_7509</t>
  </si>
  <si>
    <t>Call_7510</t>
  </si>
  <si>
    <t>Call_7511</t>
  </si>
  <si>
    <t>Call_7512</t>
  </si>
  <si>
    <t>Call_7513</t>
  </si>
  <si>
    <t>Call_7514</t>
  </si>
  <si>
    <t>Call_7515</t>
  </si>
  <si>
    <t>Call_7516</t>
  </si>
  <si>
    <t>Call_7517</t>
  </si>
  <si>
    <t>Call_7518</t>
  </si>
  <si>
    <t>Call_7519</t>
  </si>
  <si>
    <t>Call_7520</t>
  </si>
  <si>
    <t>Call_7521</t>
  </si>
  <si>
    <t>Call_7522</t>
  </si>
  <si>
    <t>Call_7523</t>
  </si>
  <si>
    <t>Call_7524</t>
  </si>
  <si>
    <t>Call_7525</t>
  </si>
  <si>
    <t>Call_7526</t>
  </si>
  <si>
    <t>Call_7527</t>
  </si>
  <si>
    <t>Call_7528</t>
  </si>
  <si>
    <t>Call_7529</t>
  </si>
  <si>
    <t>Call_7530</t>
  </si>
  <si>
    <t>Call_7531</t>
  </si>
  <si>
    <t>Call_7532</t>
  </si>
  <si>
    <t>Call_7533</t>
  </si>
  <si>
    <t>Call_7534</t>
  </si>
  <si>
    <t>Call_7535</t>
  </si>
  <si>
    <t>Call_7536</t>
  </si>
  <si>
    <t>Call_7537</t>
  </si>
  <si>
    <t>Call_7538</t>
  </si>
  <si>
    <t>Call_7539</t>
  </si>
  <si>
    <t>Call_7540</t>
  </si>
  <si>
    <t>Call_7541</t>
  </si>
  <si>
    <t>Call_7542</t>
  </si>
  <si>
    <t>Call_7543</t>
  </si>
  <si>
    <t>Call_7544</t>
  </si>
  <si>
    <t>Call_7545</t>
  </si>
  <si>
    <t>Call_7546</t>
  </si>
  <si>
    <t>Call_7547</t>
  </si>
  <si>
    <t>Call_7548</t>
  </si>
  <si>
    <t>Call_7549</t>
  </si>
  <si>
    <t>Call_7550</t>
  </si>
  <si>
    <t>Call_7551</t>
  </si>
  <si>
    <t>Call_7552</t>
  </si>
  <si>
    <t>Call_7553</t>
  </si>
  <si>
    <t>Call_7554</t>
  </si>
  <si>
    <t>Call_7555</t>
  </si>
  <si>
    <t>Call_7556</t>
  </si>
  <si>
    <t>Call_7557</t>
  </si>
  <si>
    <t>Call_7558</t>
  </si>
  <si>
    <t>Call_7559</t>
  </si>
  <si>
    <t>Call_7560</t>
  </si>
  <si>
    <t>Call_7561</t>
  </si>
  <si>
    <t>Call_7562</t>
  </si>
  <si>
    <t>Call_7563</t>
  </si>
  <si>
    <t>Call_7564</t>
  </si>
  <si>
    <t>Call_7565</t>
  </si>
  <si>
    <t>Call_7566</t>
  </si>
  <si>
    <t>Call_7567</t>
  </si>
  <si>
    <t>Call_7568</t>
  </si>
  <si>
    <t>Call_7569</t>
  </si>
  <si>
    <t>Call_7570</t>
  </si>
  <si>
    <t>Call_7571</t>
  </si>
  <si>
    <t>Call_7572</t>
  </si>
  <si>
    <t>Call_7573</t>
  </si>
  <si>
    <t>Call_7574</t>
  </si>
  <si>
    <t>Call_7575</t>
  </si>
  <si>
    <t>Call_7576</t>
  </si>
  <si>
    <t>Call_7577</t>
  </si>
  <si>
    <t>Call_7578</t>
  </si>
  <si>
    <t>Call_7579</t>
  </si>
  <si>
    <t>Call_7580</t>
  </si>
  <si>
    <t>Call_7581</t>
  </si>
  <si>
    <t>Call_7582</t>
  </si>
  <si>
    <t>Call_7583</t>
  </si>
  <si>
    <t>Call_7584</t>
  </si>
  <si>
    <t>Call_7585</t>
  </si>
  <si>
    <t>Call_7586</t>
  </si>
  <si>
    <t>Call_7587</t>
  </si>
  <si>
    <t>Call_7588</t>
  </si>
  <si>
    <t>Call_7589</t>
  </si>
  <si>
    <t>Call_7590</t>
  </si>
  <si>
    <t>Call_7591</t>
  </si>
  <si>
    <t>Call_7592</t>
  </si>
  <si>
    <t>Call_7593</t>
  </si>
  <si>
    <t>Call_7594</t>
  </si>
  <si>
    <t>Call_7595</t>
  </si>
  <si>
    <t>Call_7596</t>
  </si>
  <si>
    <t>Call_7597</t>
  </si>
  <si>
    <t>Call_7598</t>
  </si>
  <si>
    <t>Call_7599</t>
  </si>
  <si>
    <t>Call_7600</t>
  </si>
  <si>
    <t>Call_7601</t>
  </si>
  <si>
    <t>Call_7602</t>
  </si>
  <si>
    <t>Call_7603</t>
  </si>
  <si>
    <t>Call_7604</t>
  </si>
  <si>
    <t>Call_7605</t>
  </si>
  <si>
    <t>Call_7606</t>
  </si>
  <si>
    <t>Call_7607</t>
  </si>
  <si>
    <t>Call_7608</t>
  </si>
  <si>
    <t>Call_7609</t>
  </si>
  <si>
    <t>Call_7610</t>
  </si>
  <si>
    <t>Call_7611</t>
  </si>
  <si>
    <t>Call_7612</t>
  </si>
  <si>
    <t>Call_7613</t>
  </si>
  <si>
    <t>Call_7614</t>
  </si>
  <si>
    <t>Call_7615</t>
  </si>
  <si>
    <t>Call_7616</t>
  </si>
  <si>
    <t>Call_7617</t>
  </si>
  <si>
    <t>Call_7618</t>
  </si>
  <si>
    <t>Call_7619</t>
  </si>
  <si>
    <t>Call_7620</t>
  </si>
  <si>
    <t>Call_7621</t>
  </si>
  <si>
    <t>Call_7622</t>
  </si>
  <si>
    <t>Call_7623</t>
  </si>
  <si>
    <t>Call_7624</t>
  </si>
  <si>
    <t>Call_7625</t>
  </si>
  <si>
    <t>Call_7626</t>
  </si>
  <si>
    <t>Call_7627</t>
  </si>
  <si>
    <t>Call_7628</t>
  </si>
  <si>
    <t>Call_7629</t>
  </si>
  <si>
    <t>Call_7630</t>
  </si>
  <si>
    <t>Call_7631</t>
  </si>
  <si>
    <t>Call_7632</t>
  </si>
  <si>
    <t>Call_7633</t>
  </si>
  <si>
    <t>Call_7634</t>
  </si>
  <si>
    <t>Call_7635</t>
  </si>
  <si>
    <t>Call_7636</t>
  </si>
  <si>
    <t>Call_7637</t>
  </si>
  <si>
    <t>Call_7638</t>
  </si>
  <si>
    <t>Call_7639</t>
  </si>
  <si>
    <t>Call_7640</t>
  </si>
  <si>
    <t>Call_7641</t>
  </si>
  <si>
    <t>Call_7642</t>
  </si>
  <si>
    <t>Call_7643</t>
  </si>
  <si>
    <t>Call_7644</t>
  </si>
  <si>
    <t>Call_7645</t>
  </si>
  <si>
    <t>Call_7646</t>
  </si>
  <si>
    <t>Call_7647</t>
  </si>
  <si>
    <t>Call_7648</t>
  </si>
  <si>
    <t>Call_7649</t>
  </si>
  <si>
    <t>Call_7650</t>
  </si>
  <si>
    <t>Call_7651</t>
  </si>
  <si>
    <t>Call_7652</t>
  </si>
  <si>
    <t>Call_7653</t>
  </si>
  <si>
    <t>Call_7654</t>
  </si>
  <si>
    <t>Call_7655</t>
  </si>
  <si>
    <t>Call_7656</t>
  </si>
  <si>
    <t>Call_7657</t>
  </si>
  <si>
    <t>Call_7658</t>
  </si>
  <si>
    <t>Call_7659</t>
  </si>
  <si>
    <t>Call_7660</t>
  </si>
  <si>
    <t>Call_7661</t>
  </si>
  <si>
    <t>Call_7662</t>
  </si>
  <si>
    <t>Call_7663</t>
  </si>
  <si>
    <t>Call_7664</t>
  </si>
  <si>
    <t>Call_7665</t>
  </si>
  <si>
    <t>Call_7666</t>
  </si>
  <si>
    <t>Call_7667</t>
  </si>
  <si>
    <t>Call_7668</t>
  </si>
  <si>
    <t>Call_7669</t>
  </si>
  <si>
    <t>Call_7670</t>
  </si>
  <si>
    <t>Call_7671</t>
  </si>
  <si>
    <t>Call_7672</t>
  </si>
  <si>
    <t>Call_7673</t>
  </si>
  <si>
    <t>Call_7674</t>
  </si>
  <si>
    <t>Call_7675</t>
  </si>
  <si>
    <t>Call_7676</t>
  </si>
  <si>
    <t>Call_7677</t>
  </si>
  <si>
    <t>Call_7678</t>
  </si>
  <si>
    <t>Call_7679</t>
  </si>
  <si>
    <t>Call_7680</t>
  </si>
  <si>
    <t>Call_7681</t>
  </si>
  <si>
    <t>Call_7682</t>
  </si>
  <si>
    <t>Call_7683</t>
  </si>
  <si>
    <t>Call_7684</t>
  </si>
  <si>
    <t>Call_7685</t>
  </si>
  <si>
    <t>Call_7686</t>
  </si>
  <si>
    <t>Call_7687</t>
  </si>
  <si>
    <t>Call_7688</t>
  </si>
  <si>
    <t>Call_7689</t>
  </si>
  <si>
    <t>Call_7690</t>
  </si>
  <si>
    <t>Call_7691</t>
  </si>
  <si>
    <t>Call_7692</t>
  </si>
  <si>
    <t>Call_7693</t>
  </si>
  <si>
    <t>Call_7694</t>
  </si>
  <si>
    <t>Call_7695</t>
  </si>
  <si>
    <t>Call_7696</t>
  </si>
  <si>
    <t>Call_7697</t>
  </si>
  <si>
    <t>Call_7698</t>
  </si>
  <si>
    <t>Call_7699</t>
  </si>
  <si>
    <t>Call_7700</t>
  </si>
  <si>
    <t>Call_7701</t>
  </si>
  <si>
    <t>Call_7702</t>
  </si>
  <si>
    <t>Call_7703</t>
  </si>
  <si>
    <t>Call_7704</t>
  </si>
  <si>
    <t>Call_7705</t>
  </si>
  <si>
    <t>Call_7706</t>
  </si>
  <si>
    <t>Call_7707</t>
  </si>
  <si>
    <t>Call_7708</t>
  </si>
  <si>
    <t>Call_7709</t>
  </si>
  <si>
    <t>Call_7710</t>
  </si>
  <si>
    <t>Call_7711</t>
  </si>
  <si>
    <t>Call_7712</t>
  </si>
  <si>
    <t>Call_7713</t>
  </si>
  <si>
    <t>Call_7714</t>
  </si>
  <si>
    <t>Call_7715</t>
  </si>
  <si>
    <t>Call_7716</t>
  </si>
  <si>
    <t>Call_7717</t>
  </si>
  <si>
    <t>Call_7718</t>
  </si>
  <si>
    <t>Call_7719</t>
  </si>
  <si>
    <t>Call_7720</t>
  </si>
  <si>
    <t>Call_7721</t>
  </si>
  <si>
    <t>Call_7722</t>
  </si>
  <si>
    <t>Call_7723</t>
  </si>
  <si>
    <t>Call_7724</t>
  </si>
  <si>
    <t>Call_7725</t>
  </si>
  <si>
    <t>Call_7726</t>
  </si>
  <si>
    <t>Call_7727</t>
  </si>
  <si>
    <t>Call_7728</t>
  </si>
  <si>
    <t>Call_7729</t>
  </si>
  <si>
    <t>Call_7730</t>
  </si>
  <si>
    <t>Call_7731</t>
  </si>
  <si>
    <t>Call_7732</t>
  </si>
  <si>
    <t>Call_7733</t>
  </si>
  <si>
    <t>Call_7734</t>
  </si>
  <si>
    <t>Call_7735</t>
  </si>
  <si>
    <t>Call_7736</t>
  </si>
  <si>
    <t>Call_7737</t>
  </si>
  <si>
    <t>Call_7738</t>
  </si>
  <si>
    <t>Call_7739</t>
  </si>
  <si>
    <t>Call_7740</t>
  </si>
  <si>
    <t>Call_7741</t>
  </si>
  <si>
    <t>Call_7742</t>
  </si>
  <si>
    <t>Call_7743</t>
  </si>
  <si>
    <t>Call_7744</t>
  </si>
  <si>
    <t>Call_7745</t>
  </si>
  <si>
    <t>Call_7746</t>
  </si>
  <si>
    <t>Call_7747</t>
  </si>
  <si>
    <t>Call_7748</t>
  </si>
  <si>
    <t>Call_7749</t>
  </si>
  <si>
    <t>Call_7750</t>
  </si>
  <si>
    <t>Call_7751</t>
  </si>
  <si>
    <t>Call_7752</t>
  </si>
  <si>
    <t>Call_7753</t>
  </si>
  <si>
    <t>Call_7754</t>
  </si>
  <si>
    <t>Call_7755</t>
  </si>
  <si>
    <t>Call_7756</t>
  </si>
  <si>
    <t>Call_7757</t>
  </si>
  <si>
    <t>Call_7758</t>
  </si>
  <si>
    <t>Call_7759</t>
  </si>
  <si>
    <t>Call_7760</t>
  </si>
  <si>
    <t>Call_7761</t>
  </si>
  <si>
    <t>Call_7762</t>
  </si>
  <si>
    <t>Call_7763</t>
  </si>
  <si>
    <t>Call_7764</t>
  </si>
  <si>
    <t>Call_7765</t>
  </si>
  <si>
    <t>Call_7766</t>
  </si>
  <si>
    <t>Call_7767</t>
  </si>
  <si>
    <t>Call_7768</t>
  </si>
  <si>
    <t>Call_7769</t>
  </si>
  <si>
    <t>Call_7770</t>
  </si>
  <si>
    <t>Call_7771</t>
  </si>
  <si>
    <t>Call_7772</t>
  </si>
  <si>
    <t>Call_7773</t>
  </si>
  <si>
    <t>Call_7774</t>
  </si>
  <si>
    <t>Call_7775</t>
  </si>
  <si>
    <t>Call_7776</t>
  </si>
  <si>
    <t>Call_7777</t>
  </si>
  <si>
    <t>Call_7778</t>
  </si>
  <si>
    <t>Call_7779</t>
  </si>
  <si>
    <t>Call_7780</t>
  </si>
  <si>
    <t>Call_7781</t>
  </si>
  <si>
    <t>Call_7782</t>
  </si>
  <si>
    <t>Call_7783</t>
  </si>
  <si>
    <t>Call_7784</t>
  </si>
  <si>
    <t>Call_7785</t>
  </si>
  <si>
    <t>Call_7786</t>
  </si>
  <si>
    <t>Call_7787</t>
  </si>
  <si>
    <t>Call_7788</t>
  </si>
  <si>
    <t>Call_7789</t>
  </si>
  <si>
    <t>Call_7790</t>
  </si>
  <si>
    <t>Call_7791</t>
  </si>
  <si>
    <t>Call_7792</t>
  </si>
  <si>
    <t>Call_7793</t>
  </si>
  <si>
    <t>Call_7794</t>
  </si>
  <si>
    <t>Call_7795</t>
  </si>
  <si>
    <t>Call_7796</t>
  </si>
  <si>
    <t>Call_7797</t>
  </si>
  <si>
    <t>Call_7798</t>
  </si>
  <si>
    <t>Call_7799</t>
  </si>
  <si>
    <t>Call_7800</t>
  </si>
  <si>
    <t>Call_7801</t>
  </si>
  <si>
    <t>Call_7802</t>
  </si>
  <si>
    <t>Call_7803</t>
  </si>
  <si>
    <t>Call_7804</t>
  </si>
  <si>
    <t>Call_7805</t>
  </si>
  <si>
    <t>Call_7806</t>
  </si>
  <si>
    <t>Call_7807</t>
  </si>
  <si>
    <t>Call_7808</t>
  </si>
  <si>
    <t>Call_7809</t>
  </si>
  <si>
    <t>Call_7810</t>
  </si>
  <si>
    <t>Call_7811</t>
  </si>
  <si>
    <t>Call_7812</t>
  </si>
  <si>
    <t>Call_7813</t>
  </si>
  <si>
    <t>Call_7814</t>
  </si>
  <si>
    <t>Call_7815</t>
  </si>
  <si>
    <t>Call_7816</t>
  </si>
  <si>
    <t>Call_7817</t>
  </si>
  <si>
    <t>Call_7818</t>
  </si>
  <si>
    <t>Call_7819</t>
  </si>
  <si>
    <t>Call_7820</t>
  </si>
  <si>
    <t>Call_7821</t>
  </si>
  <si>
    <t>Call_7822</t>
  </si>
  <si>
    <t>Call_7823</t>
  </si>
  <si>
    <t>Call_7824</t>
  </si>
  <si>
    <t>Call_7825</t>
  </si>
  <si>
    <t>Call_7826</t>
  </si>
  <si>
    <t>Call_7827</t>
  </si>
  <si>
    <t>Call_7828</t>
  </si>
  <si>
    <t>Call_7829</t>
  </si>
  <si>
    <t>Call_7830</t>
  </si>
  <si>
    <t>Call_7831</t>
  </si>
  <si>
    <t>Call_7832</t>
  </si>
  <si>
    <t>Call_7833</t>
  </si>
  <si>
    <t>Call_7834</t>
  </si>
  <si>
    <t>Call_7835</t>
  </si>
  <si>
    <t>Call_7836</t>
  </si>
  <si>
    <t>Call_7837</t>
  </si>
  <si>
    <t>Call_7838</t>
  </si>
  <si>
    <t>Call_7839</t>
  </si>
  <si>
    <t>Call_7840</t>
  </si>
  <si>
    <t>Call_7841</t>
  </si>
  <si>
    <t>Call_7842</t>
  </si>
  <si>
    <t>Call_7843</t>
  </si>
  <si>
    <t>Call_7844</t>
  </si>
  <si>
    <t>Call_7845</t>
  </si>
  <si>
    <t>Call_7846</t>
  </si>
  <si>
    <t>Call_7847</t>
  </si>
  <si>
    <t>Call_7848</t>
  </si>
  <si>
    <t>Call_7849</t>
  </si>
  <si>
    <t>Call_7850</t>
  </si>
  <si>
    <t>Call_7851</t>
  </si>
  <si>
    <t>Call_7852</t>
  </si>
  <si>
    <t>Call_7853</t>
  </si>
  <si>
    <t>Call_7854</t>
  </si>
  <si>
    <t>Call_7855</t>
  </si>
  <si>
    <t>Call_7856</t>
  </si>
  <si>
    <t>Call_7857</t>
  </si>
  <si>
    <t>Call_7858</t>
  </si>
  <si>
    <t>Call_7859</t>
  </si>
  <si>
    <t>Call_7860</t>
  </si>
  <si>
    <t>Call_7861</t>
  </si>
  <si>
    <t>Call_7862</t>
  </si>
  <si>
    <t>Call_7863</t>
  </si>
  <si>
    <t>Call_7864</t>
  </si>
  <si>
    <t>Call_7865</t>
  </si>
  <si>
    <t>Call_7866</t>
  </si>
  <si>
    <t>Call_7867</t>
  </si>
  <si>
    <t>Call_7868</t>
  </si>
  <si>
    <t>Call_7869</t>
  </si>
  <si>
    <t>Call_7870</t>
  </si>
  <si>
    <t>Call_7871</t>
  </si>
  <si>
    <t>Call_7872</t>
  </si>
  <si>
    <t>Call_7873</t>
  </si>
  <si>
    <t>Call_7874</t>
  </si>
  <si>
    <t>Call_7875</t>
  </si>
  <si>
    <t>Call_7876</t>
  </si>
  <si>
    <t>Call_7877</t>
  </si>
  <si>
    <t>Call_7878</t>
  </si>
  <si>
    <t>Call_7879</t>
  </si>
  <si>
    <t>Call_7880</t>
  </si>
  <si>
    <t>Call_7881</t>
  </si>
  <si>
    <t>Call_7882</t>
  </si>
  <si>
    <t>Call_7883</t>
  </si>
  <si>
    <t>Call_7884</t>
  </si>
  <si>
    <t>Call_7885</t>
  </si>
  <si>
    <t>Call_7886</t>
  </si>
  <si>
    <t>Call_7887</t>
  </si>
  <si>
    <t>Call_7888</t>
  </si>
  <si>
    <t>Call_7889</t>
  </si>
  <si>
    <t>Call_7890</t>
  </si>
  <si>
    <t>Call_7891</t>
  </si>
  <si>
    <t>Call_7892</t>
  </si>
  <si>
    <t>Call_7893</t>
  </si>
  <si>
    <t>Call_7894</t>
  </si>
  <si>
    <t>Call_7895</t>
  </si>
  <si>
    <t>Call_7896</t>
  </si>
  <si>
    <t>Call_7897</t>
  </si>
  <si>
    <t>Call_7898</t>
  </si>
  <si>
    <t>Call_7899</t>
  </si>
  <si>
    <t>Call_7900</t>
  </si>
  <si>
    <t>Call_7901</t>
  </si>
  <si>
    <t>Call_7902</t>
  </si>
  <si>
    <t>Call_7903</t>
  </si>
  <si>
    <t>Call_7904</t>
  </si>
  <si>
    <t>Call_7905</t>
  </si>
  <si>
    <t>Call_7906</t>
  </si>
  <si>
    <t>Call_7907</t>
  </si>
  <si>
    <t>Call_7908</t>
  </si>
  <si>
    <t>Call_7909</t>
  </si>
  <si>
    <t>Call_7910</t>
  </si>
  <si>
    <t>Call_7911</t>
  </si>
  <si>
    <t>Call_7912</t>
  </si>
  <si>
    <t>Call_7913</t>
  </si>
  <si>
    <t>Call_7914</t>
  </si>
  <si>
    <t>Call_7915</t>
  </si>
  <si>
    <t>Call_7916</t>
  </si>
  <si>
    <t>Call_7917</t>
  </si>
  <si>
    <t>Call_7918</t>
  </si>
  <si>
    <t>Call_7919</t>
  </si>
  <si>
    <t>Call_7920</t>
  </si>
  <si>
    <t>Call_7921</t>
  </si>
  <si>
    <t>Call_7922</t>
  </si>
  <si>
    <t>Call_7923</t>
  </si>
  <si>
    <t>Call_7924</t>
  </si>
  <si>
    <t>Call_7925</t>
  </si>
  <si>
    <t>Call_7926</t>
  </si>
  <si>
    <t>Call_7927</t>
  </si>
  <si>
    <t>Call_7928</t>
  </si>
  <si>
    <t>Call_7929</t>
  </si>
  <si>
    <t>Call_7930</t>
  </si>
  <si>
    <t>Call_7931</t>
  </si>
  <si>
    <t>Call_7932</t>
  </si>
  <si>
    <t>Call_7933</t>
  </si>
  <si>
    <t>Call_7934</t>
  </si>
  <si>
    <t>Call_7935</t>
  </si>
  <si>
    <t>Call_7936</t>
  </si>
  <si>
    <t>Call_7937</t>
  </si>
  <si>
    <t>Call_7938</t>
  </si>
  <si>
    <t>Call_7939</t>
  </si>
  <si>
    <t>Call_7940</t>
  </si>
  <si>
    <t>Call_7941</t>
  </si>
  <si>
    <t>Call_7942</t>
  </si>
  <si>
    <t>Call_7943</t>
  </si>
  <si>
    <t>Call_7944</t>
  </si>
  <si>
    <t>Call_7945</t>
  </si>
  <si>
    <t>Call_7946</t>
  </si>
  <si>
    <t>Call_7947</t>
  </si>
  <si>
    <t>Call_7948</t>
  </si>
  <si>
    <t>Call_7949</t>
  </si>
  <si>
    <t>Call_7950</t>
  </si>
  <si>
    <t>Call_7951</t>
  </si>
  <si>
    <t>Call_7952</t>
  </si>
  <si>
    <t>Call_7953</t>
  </si>
  <si>
    <t>Call_7954</t>
  </si>
  <si>
    <t>Call_7955</t>
  </si>
  <si>
    <t>Call_7956</t>
  </si>
  <si>
    <t>Call_7957</t>
  </si>
  <si>
    <t>Call_7958</t>
  </si>
  <si>
    <t>Call_7959</t>
  </si>
  <si>
    <t>Call_7960</t>
  </si>
  <si>
    <t>Call_7961</t>
  </si>
  <si>
    <t>Call_7962</t>
  </si>
  <si>
    <t>Call_7963</t>
  </si>
  <si>
    <t>Call_7964</t>
  </si>
  <si>
    <t>Call_7965</t>
  </si>
  <si>
    <t>Call_7966</t>
  </si>
  <si>
    <t>Call_7967</t>
  </si>
  <si>
    <t>Call_7968</t>
  </si>
  <si>
    <t>Call_7969</t>
  </si>
  <si>
    <t>Call_7970</t>
  </si>
  <si>
    <t>Call_7971</t>
  </si>
  <si>
    <t>Call_7972</t>
  </si>
  <si>
    <t>Call_7973</t>
  </si>
  <si>
    <t>Call_7974</t>
  </si>
  <si>
    <t>Call_7975</t>
  </si>
  <si>
    <t>Call_7976</t>
  </si>
  <si>
    <t>Call_7977</t>
  </si>
  <si>
    <t>Call_7978</t>
  </si>
  <si>
    <t>Call_7979</t>
  </si>
  <si>
    <t>Call_7980</t>
  </si>
  <si>
    <t>Call_7981</t>
  </si>
  <si>
    <t>Call_7982</t>
  </si>
  <si>
    <t>Call_7983</t>
  </si>
  <si>
    <t>Call_7984</t>
  </si>
  <si>
    <t>Call_7985</t>
  </si>
  <si>
    <t>Call_7986</t>
  </si>
  <si>
    <t>Call_7987</t>
  </si>
  <si>
    <t>Call_7988</t>
  </si>
  <si>
    <t>Call_7989</t>
  </si>
  <si>
    <t>Call_7990</t>
  </si>
  <si>
    <t>Call_7991</t>
  </si>
  <si>
    <t>Call_7992</t>
  </si>
  <si>
    <t>Call_7993</t>
  </si>
  <si>
    <t>Call_7994</t>
  </si>
  <si>
    <t>Call_7995</t>
  </si>
  <si>
    <t>Call_7996</t>
  </si>
  <si>
    <t>Call_7997</t>
  </si>
  <si>
    <t>Call_7998</t>
  </si>
  <si>
    <t>Call_7999</t>
  </si>
  <si>
    <t>Call_8000</t>
  </si>
  <si>
    <t>Call_8001</t>
  </si>
  <si>
    <t>Call_8002</t>
  </si>
  <si>
    <t>Call_8003</t>
  </si>
  <si>
    <t>Call_8004</t>
  </si>
  <si>
    <t>Call_8005</t>
  </si>
  <si>
    <t>Call_8006</t>
  </si>
  <si>
    <t>Call_8007</t>
  </si>
  <si>
    <t>Call_8008</t>
  </si>
  <si>
    <t>Call_8009</t>
  </si>
  <si>
    <t>Call_8010</t>
  </si>
  <si>
    <t>Call_8011</t>
  </si>
  <si>
    <t>Call_8012</t>
  </si>
  <si>
    <t>Call_8013</t>
  </si>
  <si>
    <t>Call_8014</t>
  </si>
  <si>
    <t>Call_8015</t>
  </si>
  <si>
    <t>Call_8016</t>
  </si>
  <si>
    <t>Call_8017</t>
  </si>
  <si>
    <t>Call_8018</t>
  </si>
  <si>
    <t>Call_8019</t>
  </si>
  <si>
    <t>Call_8020</t>
  </si>
  <si>
    <t>Call_8021</t>
  </si>
  <si>
    <t>Call_8022</t>
  </si>
  <si>
    <t>Call_8023</t>
  </si>
  <si>
    <t>Call_8024</t>
  </si>
  <si>
    <t>Call_8025</t>
  </si>
  <si>
    <t>Call_8026</t>
  </si>
  <si>
    <t>Call_8027</t>
  </si>
  <si>
    <t>Call_8028</t>
  </si>
  <si>
    <t>Call_8029</t>
  </si>
  <si>
    <t>Call_8030</t>
  </si>
  <si>
    <t>Call_8031</t>
  </si>
  <si>
    <t>Call_8032</t>
  </si>
  <si>
    <t>Call_8033</t>
  </si>
  <si>
    <t>Call_8034</t>
  </si>
  <si>
    <t>Call_8035</t>
  </si>
  <si>
    <t>Call_8036</t>
  </si>
  <si>
    <t>Call_8037</t>
  </si>
  <si>
    <t>Call_8038</t>
  </si>
  <si>
    <t>Call_8039</t>
  </si>
  <si>
    <t>Call_8040</t>
  </si>
  <si>
    <t>Call_8041</t>
  </si>
  <si>
    <t>Call_8042</t>
  </si>
  <si>
    <t>Call_8043</t>
  </si>
  <si>
    <t>Call_8044</t>
  </si>
  <si>
    <t>Call_8045</t>
  </si>
  <si>
    <t>Call_8046</t>
  </si>
  <si>
    <t>Call_8047</t>
  </si>
  <si>
    <t>Call_8048</t>
  </si>
  <si>
    <t>Call_8049</t>
  </si>
  <si>
    <t>Call_8050</t>
  </si>
  <si>
    <t>Call_8051</t>
  </si>
  <si>
    <t>Call_8052</t>
  </si>
  <si>
    <t>Call_8053</t>
  </si>
  <si>
    <t>Call_8054</t>
  </si>
  <si>
    <t>Call_8055</t>
  </si>
  <si>
    <t>Call_8056</t>
  </si>
  <si>
    <t>Call_8057</t>
  </si>
  <si>
    <t>Call_8058</t>
  </si>
  <si>
    <t>Call_8059</t>
  </si>
  <si>
    <t>Call_8060</t>
  </si>
  <si>
    <t>Call_8061</t>
  </si>
  <si>
    <t>Call_8062</t>
  </si>
  <si>
    <t>Call_8063</t>
  </si>
  <si>
    <t>Call_8064</t>
  </si>
  <si>
    <t>Call_8065</t>
  </si>
  <si>
    <t>Call_8066</t>
  </si>
  <si>
    <t>Call_8067</t>
  </si>
  <si>
    <t>Call_8068</t>
  </si>
  <si>
    <t>Call_8069</t>
  </si>
  <si>
    <t>Call_8070</t>
  </si>
  <si>
    <t>Call_8071</t>
  </si>
  <si>
    <t>Call_8072</t>
  </si>
  <si>
    <t>Call_8073</t>
  </si>
  <si>
    <t>Call_8074</t>
  </si>
  <si>
    <t>Call_8075</t>
  </si>
  <si>
    <t>Call_8076</t>
  </si>
  <si>
    <t>Call_8077</t>
  </si>
  <si>
    <t>Call_8078</t>
  </si>
  <si>
    <t>Call_8079</t>
  </si>
  <si>
    <t>Call_8080</t>
  </si>
  <si>
    <t>Call_8081</t>
  </si>
  <si>
    <t>Call_8082</t>
  </si>
  <si>
    <t>Call_8083</t>
  </si>
  <si>
    <t>Call_8084</t>
  </si>
  <si>
    <t>Call_8085</t>
  </si>
  <si>
    <t>Call_8086</t>
  </si>
  <si>
    <t>Call_8087</t>
  </si>
  <si>
    <t>Call_8088</t>
  </si>
  <si>
    <t>Call_8089</t>
  </si>
  <si>
    <t>Call_8090</t>
  </si>
  <si>
    <t>Call_8091</t>
  </si>
  <si>
    <t>Call_8092</t>
  </si>
  <si>
    <t>Call_8093</t>
  </si>
  <si>
    <t>Call_8094</t>
  </si>
  <si>
    <t>Call_8095</t>
  </si>
  <si>
    <t>Call_8096</t>
  </si>
  <si>
    <t>Call_8097</t>
  </si>
  <si>
    <t>Call_8098</t>
  </si>
  <si>
    <t>Call_8099</t>
  </si>
  <si>
    <t>Call_8100</t>
  </si>
  <si>
    <t>Call_8101</t>
  </si>
  <si>
    <t>Call_8102</t>
  </si>
  <si>
    <t>Call_8103</t>
  </si>
  <si>
    <t>Call_8104</t>
  </si>
  <si>
    <t>Call_8105</t>
  </si>
  <si>
    <t>Call_8106</t>
  </si>
  <si>
    <t>Call_8107</t>
  </si>
  <si>
    <t>Call_8108</t>
  </si>
  <si>
    <t>Call_8109</t>
  </si>
  <si>
    <t>Call_8110</t>
  </si>
  <si>
    <t>Call_8111</t>
  </si>
  <si>
    <t>Call_8112</t>
  </si>
  <si>
    <t>Call_8113</t>
  </si>
  <si>
    <t>Call_8114</t>
  </si>
  <si>
    <t>Call_8115</t>
  </si>
  <si>
    <t>Call_8116</t>
  </si>
  <si>
    <t>Call_8117</t>
  </si>
  <si>
    <t>Call_8118</t>
  </si>
  <si>
    <t>Call_8119</t>
  </si>
  <si>
    <t>Call_8120</t>
  </si>
  <si>
    <t>Call_8121</t>
  </si>
  <si>
    <t>Call_8122</t>
  </si>
  <si>
    <t>Call_8123</t>
  </si>
  <si>
    <t>Call_8124</t>
  </si>
  <si>
    <t>Call_8125</t>
  </si>
  <si>
    <t>Call_8126</t>
  </si>
  <si>
    <t>Call_8127</t>
  </si>
  <si>
    <t>Call_8128</t>
  </si>
  <si>
    <t>Call_8129</t>
  </si>
  <si>
    <t>Call_8130</t>
  </si>
  <si>
    <t>Call_8131</t>
  </si>
  <si>
    <t>Call_8132</t>
  </si>
  <si>
    <t>Call_8133</t>
  </si>
  <si>
    <t>Call_8134</t>
  </si>
  <si>
    <t>Call_8135</t>
  </si>
  <si>
    <t>Call_8136</t>
  </si>
  <si>
    <t>Call_8137</t>
  </si>
  <si>
    <t>Call_8138</t>
  </si>
  <si>
    <t>Call_8139</t>
  </si>
  <si>
    <t>Call_8140</t>
  </si>
  <si>
    <t>Call_8141</t>
  </si>
  <si>
    <t>Call_8142</t>
  </si>
  <si>
    <t>Call_8143</t>
  </si>
  <si>
    <t>Call_8144</t>
  </si>
  <si>
    <t>Call_8145</t>
  </si>
  <si>
    <t>Call_8146</t>
  </si>
  <si>
    <t>Call_8147</t>
  </si>
  <si>
    <t>Call_8148</t>
  </si>
  <si>
    <t>Call_8149</t>
  </si>
  <si>
    <t>Call_8150</t>
  </si>
  <si>
    <t>Call_8151</t>
  </si>
  <si>
    <t>Call_8152</t>
  </si>
  <si>
    <t>Call_8153</t>
  </si>
  <si>
    <t>Call_8154</t>
  </si>
  <si>
    <t>Call_8155</t>
  </si>
  <si>
    <t>Call_8156</t>
  </si>
  <si>
    <t>Call_8157</t>
  </si>
  <si>
    <t>Call_8158</t>
  </si>
  <si>
    <t>Call_8159</t>
  </si>
  <si>
    <t>Call_8160</t>
  </si>
  <si>
    <t>Call_8161</t>
  </si>
  <si>
    <t>Call_8162</t>
  </si>
  <si>
    <t>Call_8163</t>
  </si>
  <si>
    <t>Call_8164</t>
  </si>
  <si>
    <t>Call_8165</t>
  </si>
  <si>
    <t>Call_8166</t>
  </si>
  <si>
    <t>Call_8167</t>
  </si>
  <si>
    <t>Call_8168</t>
  </si>
  <si>
    <t>Call_8169</t>
  </si>
  <si>
    <t>Call_8170</t>
  </si>
  <si>
    <t>Call_8171</t>
  </si>
  <si>
    <t>Call_8172</t>
  </si>
  <si>
    <t>Call_8173</t>
  </si>
  <si>
    <t>Call_8174</t>
  </si>
  <si>
    <t>Call_8175</t>
  </si>
  <si>
    <t>Call_8176</t>
  </si>
  <si>
    <t>Call_8177</t>
  </si>
  <si>
    <t>Call_8178</t>
  </si>
  <si>
    <t>Call_8179</t>
  </si>
  <si>
    <t>Call_8180</t>
  </si>
  <si>
    <t>Call_8181</t>
  </si>
  <si>
    <t>Call_8182</t>
  </si>
  <si>
    <t>Call_8183</t>
  </si>
  <si>
    <t>Call_8184</t>
  </si>
  <si>
    <t>Call_8185</t>
  </si>
  <si>
    <t>Call_8186</t>
  </si>
  <si>
    <t>Call_8187</t>
  </si>
  <si>
    <t>Call_8188</t>
  </si>
  <si>
    <t>Call_8189</t>
  </si>
  <si>
    <t>Call_8190</t>
  </si>
  <si>
    <t>Call_8191</t>
  </si>
  <si>
    <t>Call_8192</t>
  </si>
  <si>
    <t>Call_8193</t>
  </si>
  <si>
    <t>Call_8194</t>
  </si>
  <si>
    <t>Call_8195</t>
  </si>
  <si>
    <t>Call_8196</t>
  </si>
  <si>
    <t>Call_8197</t>
  </si>
  <si>
    <t>Call_8198</t>
  </si>
  <si>
    <t>Call_8199</t>
  </si>
  <si>
    <t>Call_8200</t>
  </si>
  <si>
    <t>Call_8201</t>
  </si>
  <si>
    <t>Call_8202</t>
  </si>
  <si>
    <t>Call_8203</t>
  </si>
  <si>
    <t>Call_8204</t>
  </si>
  <si>
    <t>Call_8205</t>
  </si>
  <si>
    <t>Call_8206</t>
  </si>
  <si>
    <t>Call_8207</t>
  </si>
  <si>
    <t>Call_8208</t>
  </si>
  <si>
    <t>Call_8209</t>
  </si>
  <si>
    <t>Call_8210</t>
  </si>
  <si>
    <t>Call_8211</t>
  </si>
  <si>
    <t>Call_8212</t>
  </si>
  <si>
    <t>Call_8213</t>
  </si>
  <si>
    <t>Call_8214</t>
  </si>
  <si>
    <t>Call_8215</t>
  </si>
  <si>
    <t>Call_8216</t>
  </si>
  <si>
    <t>Call_8217</t>
  </si>
  <si>
    <t>Call_8218</t>
  </si>
  <si>
    <t>Call_8219</t>
  </si>
  <si>
    <t>Call_8220</t>
  </si>
  <si>
    <t>Call_8221</t>
  </si>
  <si>
    <t>Call_8222</t>
  </si>
  <si>
    <t>Call_8223</t>
  </si>
  <si>
    <t>Call_8224</t>
  </si>
  <si>
    <t>Call_8225</t>
  </si>
  <si>
    <t>Call_8226</t>
  </si>
  <si>
    <t>Call_8227</t>
  </si>
  <si>
    <t>Call_8228</t>
  </si>
  <si>
    <t>Call_8229</t>
  </si>
  <si>
    <t>Call_8230</t>
  </si>
  <si>
    <t>Call_8231</t>
  </si>
  <si>
    <t>Call_8232</t>
  </si>
  <si>
    <t>Call_8233</t>
  </si>
  <si>
    <t>Call_8234</t>
  </si>
  <si>
    <t>Call_8235</t>
  </si>
  <si>
    <t>Call_8236</t>
  </si>
  <si>
    <t>Call_8237</t>
  </si>
  <si>
    <t>Call_8238</t>
  </si>
  <si>
    <t>Satisfaction Rating</t>
  </si>
  <si>
    <t>Gedner</t>
  </si>
  <si>
    <t>Age</t>
  </si>
  <si>
    <t>City</t>
  </si>
  <si>
    <t>Male</t>
  </si>
  <si>
    <t>Female</t>
  </si>
  <si>
    <t>Columbus</t>
  </si>
  <si>
    <t>Cleveland</t>
  </si>
  <si>
    <t>Cincinnati</t>
  </si>
  <si>
    <t>Call Centre Data</t>
  </si>
  <si>
    <t>Call_8239</t>
  </si>
  <si>
    <t>Call_8240</t>
  </si>
  <si>
    <t>Call_8241</t>
  </si>
  <si>
    <t>Call_8242</t>
  </si>
  <si>
    <t>Call_8243</t>
  </si>
  <si>
    <t>Call_8244</t>
  </si>
  <si>
    <t>Call_8245</t>
  </si>
  <si>
    <t>Call_8246</t>
  </si>
  <si>
    <t>Call_8247</t>
  </si>
  <si>
    <t>Call_8248</t>
  </si>
  <si>
    <t>Call_8249</t>
  </si>
  <si>
    <t>Call_8250</t>
  </si>
  <si>
    <t>Call_8251</t>
  </si>
  <si>
    <t>Call_8252</t>
  </si>
  <si>
    <t>Call_8253</t>
  </si>
  <si>
    <t>Call_8254</t>
  </si>
  <si>
    <t>Call_8255</t>
  </si>
  <si>
    <t>Call_8256</t>
  </si>
  <si>
    <t>Call_8257</t>
  </si>
  <si>
    <t>Call_8258</t>
  </si>
  <si>
    <t>Call_8259</t>
  </si>
  <si>
    <t>Call_8260</t>
  </si>
  <si>
    <t>Call_8261</t>
  </si>
  <si>
    <t>Call_8262</t>
  </si>
  <si>
    <t>Call_8263</t>
  </si>
  <si>
    <t>Call_8264</t>
  </si>
  <si>
    <t>Call_8265</t>
  </si>
  <si>
    <t>Call_8266</t>
  </si>
  <si>
    <t>Call_8267</t>
  </si>
  <si>
    <t>Call_8268</t>
  </si>
  <si>
    <t>Call_8269</t>
  </si>
  <si>
    <t>Call_8270</t>
  </si>
  <si>
    <t>FY</t>
  </si>
  <si>
    <t>Day of week</t>
  </si>
  <si>
    <t>Duration Bucket</t>
  </si>
  <si>
    <t>Rating rounded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</si>
</sst>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4">
    <font>
      <sz val="11"/>
      <color theme="1"/>
      <name val="Aptos"/>
      <family val="2"/>
      <scheme val="minor"/>
    </font>
    <font>
      <b/>
      <sz val="11"/>
      <color theme="1"/>
      <name val="Aptos"/>
      <family val="2"/>
      <scheme val="minor"/>
    </font>
    <font>
      <sz val="8"/>
      <name val="Aptos"/>
      <family val="2"/>
      <scheme val="minor"/>
    </font>
    <font>
      <sz val="18"/>
      <color theme="1"/>
      <name val="Aptos ExtraBold"/>
      <family val="2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9" fontId="0" fillId="0" borderId="0" xfId="0" applyNumberFormat="1"/>
    <xf numFmtId="0" fontId="0" fillId="0" borderId="1" xfId="0" applyBorder="1"/>
    <xf numFmtId="9" fontId="0" fillId="0" borderId="1" xfId="0" applyNumberFormat="1" applyBorder="1"/>
    <xf numFmtId="0" fontId="0" fillId="2" borderId="0" xfId="0" applyFill="1"/>
    <xf numFmtId="0" fontId="3" fillId="2" borderId="0" xfId="0" applyFont="1" applyFill="1" applyAlignment="1">
      <alignment vertical="center"/>
    </xf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8" xfId="0" applyNumberFormat="1" applyBorder="1"/>
  </cellXfs>
  <cellStyles count="1">
    <cellStyle name="Normal" xfId="0" builtinId="0"/>
  </cellStyles>
  <dxfs count="15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409]d\-mmm\-yy;@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</dxfs>
  <tableStyles count="1" defaultTableStyle="TableStyleMedium2" defaultPivotStyle="PivotStyleLight16">
    <tableStyle name="Slicer Style 1" pivot="0" table="0" count="1">
      <tableStyleElement type="wholeTable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styles" Target="styles.xml"/><Relationship Id="rId7" Type="http://schemas.microsoft.com/office/2022/10/relationships/richValueRel" Target="richData/richValueRel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microsoft.com/office/2017/06/relationships/rdRichValueTypes" Target="richData/rdRichValueTypes.xml"/><Relationship Id="rId4" Type="http://schemas.openxmlformats.org/officeDocument/2006/relationships/sharedStrings" Target="sharedString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">
  <rv s="0">
    <v>0</v>
    <v>5</v>
    <v>A person in a skirt and a cardigan
Description automatically generated</v>
  </rv>
  <rv s="0">
    <v>1</v>
    <v>5</v>
    <v>A person in a suit and tie
Description automatically generated</v>
  </rv>
  <rv s="0">
    <v>2</v>
    <v>5</v>
    <v>Business woman raising hand</v>
  </rv>
  <rv s="0">
    <v>3</v>
    <v>5</v>
    <v>Young businessman writing on notebook</v>
  </rv>
  <rv s="0">
    <v>4</v>
    <v>5</v>
    <v>Business woman shrugging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</richValueRels>
</file>

<file path=xl/tables/table1.xml><?xml version="1.0" encoding="utf-8"?>
<table xmlns="http://schemas.openxmlformats.org/spreadsheetml/2006/main" id="1" name="calls" displayName="calls" ref="B3:L1003" totalsRowShown="0">
  <autoFilter ref="B3:L1003"/>
  <tableColumns count="11">
    <tableColumn id="1" name="Call number"/>
    <tableColumn id="2" name="Customer ID"/>
    <tableColumn id="3" name="Duration"/>
    <tableColumn id="4" name="Representative" dataDxfId="13"/>
    <tableColumn id="5" name="Date of Call" dataDxfId="12"/>
    <tableColumn id="6" name="Purchase Amount"/>
    <tableColumn id="7" name="Satisfaction Rating"/>
    <tableColumn id="8" name="FY" dataDxfId="11">
      <calculatedColumnFormula>IF(MONTH(calls[[#This Row],[Date of Call]])&lt;=6, YEAR(calls[[#This Row],[Date of Call]]), YEAR(calls[[#This Row],[Date of Call]])+1)</calculatedColumnFormula>
    </tableColumn>
    <tableColumn id="9" name="Day of week" dataDxfId="10">
      <calculatedColumnFormula>TEXT(calls[[#This Row],[Date of Call]],"DDDD")</calculatedColumnFormula>
    </tableColumn>
    <tableColumn id="10" name="Duration Bucket" dataDxfId="9">
      <calculatedColumnFormula array="1">_xlfn.IFS(calls[[#This Row],[Duration]]&lt;=10,"Under 10 mins", calls[[#This Row],[Duration]]&lt;=30, "10 to 30 mins", calls[[#This Row],[Duration]]&lt;=60, "30 to 60 mins", calls[[#This Row],[Duration]]&lt;=120, "1 to 2 hours", TRUE, "More than 2 hours")</calculatedColumnFormula>
    </tableColumn>
    <tableColumn id="11" name="Rating rounded" dataDxfId="8">
      <calculatedColumnFormula>ROUND(calls[[#This Row],[Satisfaction Rating]],0)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ustomers" displayName="customers" ref="Q3:T18" totalsRowShown="0" headerRowDxfId="7" headerRowBorderDxfId="6" tableBorderDxfId="5" totalsRowBorderDxfId="4">
  <autoFilter ref="Q3:T18"/>
  <tableColumns count="4">
    <tableColumn id="1" name="Customer ID" dataDxfId="3"/>
    <tableColumn id="2" name="Gedner" dataDxfId="2"/>
    <tableColumn id="3" name="Age" dataDxfId="1"/>
    <tableColumn id="4" name="C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13">
      <a:majorFont>
        <a:latin typeface="Aptos ExtraBold"/>
        <a:ea typeface=""/>
        <a:cs typeface=""/>
      </a:majorFont>
      <a:minorFont>
        <a:latin typeface="Aptos"/>
        <a:ea typeface=""/>
        <a:cs typeface="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1003"/>
  <sheetViews>
    <sheetView tabSelected="1" zoomScale="115" zoomScaleNormal="115" workbookViewId="0">
      <selection activeCell="C17" sqref="C17"/>
    </sheetView>
  </sheetViews>
  <sheetFormatPr defaultRowHeight="14"/>
  <cols>
    <col min="1" max="1" width="3.25" customWidth="1"/>
    <col min="2" max="2" width="14.58203125" customWidth="1"/>
    <col min="3" max="3" width="12.83203125" customWidth="1"/>
    <col min="4" max="4" width="16.58203125" customWidth="1"/>
    <col min="5" max="5" width="15" customWidth="1"/>
    <col min="6" max="6" width="16.08203125" customWidth="1"/>
    <col min="7" max="7" width="17.25" customWidth="1"/>
    <col min="8" max="8" width="18.33203125" customWidth="1"/>
    <col min="9" max="9" width="17.25" customWidth="1"/>
    <col min="10" max="12" width="15.5" customWidth="1"/>
    <col min="13" max="16" width="7.5" customWidth="1"/>
    <col min="17" max="17" width="14.58203125" customWidth="1"/>
    <col min="20" max="20" width="10.58203125" customWidth="1"/>
  </cols>
  <sheetData>
    <row r="1" spans="2:20" s="4" customFormat="1" ht="48" customHeight="1">
      <c r="B1" s="5" t="s">
        <v>1003</v>
      </c>
    </row>
    <row r="2" spans="2:20">
      <c r="R2" s="1"/>
    </row>
    <row r="3" spans="2:20">
      <c r="B3" s="14" t="s">
        <v>25</v>
      </c>
      <c r="C3" s="14" t="s">
        <v>0</v>
      </c>
      <c r="D3" s="15" t="s">
        <v>1</v>
      </c>
      <c r="E3" s="16" t="s">
        <v>3</v>
      </c>
      <c r="F3" s="16" t="s">
        <v>4</v>
      </c>
      <c r="G3" s="14" t="s">
        <v>2</v>
      </c>
      <c r="H3" s="14" t="s">
        <v>994</v>
      </c>
      <c r="I3" t="s">
        <v>1036</v>
      </c>
      <c r="J3" t="s">
        <v>1037</v>
      </c>
      <c r="K3" t="s">
        <v>1038</v>
      </c>
      <c r="L3" t="s">
        <v>1039</v>
      </c>
      <c r="Q3" s="8" t="s">
        <v>0</v>
      </c>
      <c r="R3" s="9" t="s">
        <v>995</v>
      </c>
      <c r="S3" s="9" t="s">
        <v>996</v>
      </c>
      <c r="T3" s="10" t="s">
        <v>997</v>
      </c>
    </row>
    <row r="4" spans="2:20">
      <c r="B4" t="s">
        <v>26</v>
      </c>
      <c r="C4" t="s">
        <v>20</v>
      </c>
      <c r="D4">
        <v>116</v>
      </c>
      <c r="E4" s="17" t="s">
        <v>10</v>
      </c>
      <c r="F4" s="18">
        <v>44927</v>
      </c>
      <c r="G4">
        <v>128</v>
      </c>
      <c r="H4">
        <v>4.9000000000000004</v>
      </c>
      <c r="I4">
        <f>IF(MONTH(calls[[#This Row],[Date of Call]])&lt;=6, YEAR(calls[[#This Row],[Date of Call]]), YEAR(calls[[#This Row],[Date of Call]])+1)</f>
        <v>2023</v>
      </c>
      <c r="J4" t="str">
        <f>TEXT(calls[[#This Row],[Date of Call]],"DDDD")</f>
        <v>Sunday</v>
      </c>
      <c r="K4" t="str" cm="1">
        <f t="array" ref="K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">
        <f>ROUND(calls[[#This Row],[Satisfaction Rating]],0)</f>
        <v>5</v>
      </c>
      <c r="Q4" s="6" t="s">
        <v>17</v>
      </c>
      <c r="R4" s="3" t="s">
        <v>998</v>
      </c>
      <c r="S4" s="2">
        <v>41</v>
      </c>
      <c r="T4" s="7" t="s">
        <v>1000</v>
      </c>
    </row>
    <row r="5" spans="2:20">
      <c r="B5" t="s">
        <v>27</v>
      </c>
      <c r="C5" t="s">
        <v>12</v>
      </c>
      <c r="D5">
        <v>119</v>
      </c>
      <c r="E5" s="17" t="s">
        <v>10</v>
      </c>
      <c r="F5" s="18">
        <v>44927</v>
      </c>
      <c r="G5">
        <v>135</v>
      </c>
      <c r="H5">
        <v>2.9</v>
      </c>
      <c r="I5">
        <f>IF(MONTH(calls[[#This Row],[Date of Call]])&lt;=6, YEAR(calls[[#This Row],[Date of Call]]), YEAR(calls[[#This Row],[Date of Call]])+1)</f>
        <v>2023</v>
      </c>
      <c r="J5" t="str">
        <f>TEXT(calls[[#This Row],[Date of Call]],"DDDD")</f>
        <v>Sunday</v>
      </c>
      <c r="K5" t="str" cm="1">
        <f t="array" ref="K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">
        <f>ROUND(calls[[#This Row],[Satisfaction Rating]],0)</f>
        <v>3</v>
      </c>
      <c r="Q5" s="6" t="s">
        <v>24</v>
      </c>
      <c r="R5" s="3" t="s">
        <v>998</v>
      </c>
      <c r="S5" s="2">
        <v>31</v>
      </c>
      <c r="T5" s="7" t="s">
        <v>1001</v>
      </c>
    </row>
    <row r="6" spans="2:20">
      <c r="B6" t="s">
        <v>28</v>
      </c>
      <c r="C6" t="s">
        <v>23</v>
      </c>
      <c r="D6">
        <v>68</v>
      </c>
      <c r="E6" s="17" t="s">
        <v>9</v>
      </c>
      <c r="F6" s="18">
        <v>44927</v>
      </c>
      <c r="G6">
        <v>66</v>
      </c>
      <c r="H6">
        <v>4.7</v>
      </c>
      <c r="I6">
        <f>IF(MONTH(calls[[#This Row],[Date of Call]])&lt;=6, YEAR(calls[[#This Row],[Date of Call]]), YEAR(calls[[#This Row],[Date of Call]])+1)</f>
        <v>2023</v>
      </c>
      <c r="J6" t="str">
        <f>TEXT(calls[[#This Row],[Date of Call]],"DDDD")</f>
        <v>Sunday</v>
      </c>
      <c r="K6" t="str" cm="1">
        <f t="array" ref="K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">
        <f>ROUND(calls[[#This Row],[Satisfaction Rating]],0)</f>
        <v>5</v>
      </c>
      <c r="Q6" s="6" t="s">
        <v>20</v>
      </c>
      <c r="R6" s="3" t="s">
        <v>998</v>
      </c>
      <c r="S6" s="2">
        <v>26</v>
      </c>
      <c r="T6" s="7" t="s">
        <v>1002</v>
      </c>
    </row>
    <row r="7" spans="2:20">
      <c r="B7" t="s">
        <v>29</v>
      </c>
      <c r="C7" t="s">
        <v>21</v>
      </c>
      <c r="D7">
        <v>119</v>
      </c>
      <c r="E7" s="17" t="s">
        <v>9</v>
      </c>
      <c r="F7" s="18">
        <v>44927</v>
      </c>
      <c r="G7">
        <v>22</v>
      </c>
      <c r="H7">
        <v>2.9</v>
      </c>
      <c r="I7">
        <f>IF(MONTH(calls[[#This Row],[Date of Call]])&lt;=6, YEAR(calls[[#This Row],[Date of Call]]), YEAR(calls[[#This Row],[Date of Call]])+1)</f>
        <v>2023</v>
      </c>
      <c r="J7" t="str">
        <f>TEXT(calls[[#This Row],[Date of Call]],"DDDD")</f>
        <v>Sunday</v>
      </c>
      <c r="K7" t="str" cm="1">
        <f t="array" ref="K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">
        <f>ROUND(calls[[#This Row],[Satisfaction Rating]],0)</f>
        <v>3</v>
      </c>
      <c r="Q7" s="6" t="s">
        <v>12</v>
      </c>
      <c r="R7" s="3" t="s">
        <v>998</v>
      </c>
      <c r="S7" s="2">
        <v>36</v>
      </c>
      <c r="T7" s="7" t="s">
        <v>1002</v>
      </c>
    </row>
    <row r="8" spans="2:20">
      <c r="B8" t="s">
        <v>30</v>
      </c>
      <c r="C8" t="s">
        <v>8</v>
      </c>
      <c r="D8">
        <v>128</v>
      </c>
      <c r="E8" s="17" t="s">
        <v>11</v>
      </c>
      <c r="F8" s="18">
        <v>44928</v>
      </c>
      <c r="G8">
        <v>31</v>
      </c>
      <c r="H8">
        <v>2.8</v>
      </c>
      <c r="I8">
        <f>IF(MONTH(calls[[#This Row],[Date of Call]])&lt;=6, YEAR(calls[[#This Row],[Date of Call]]), YEAR(calls[[#This Row],[Date of Call]])+1)</f>
        <v>2023</v>
      </c>
      <c r="J8" t="str">
        <f>TEXT(calls[[#This Row],[Date of Call]],"DDDD")</f>
        <v>Monday</v>
      </c>
      <c r="K8" t="str" cm="1">
        <f t="array" ref="K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">
        <f>ROUND(calls[[#This Row],[Satisfaction Rating]],0)</f>
        <v>3</v>
      </c>
      <c r="Q8" s="6" t="s">
        <v>23</v>
      </c>
      <c r="R8" s="3" t="s">
        <v>998</v>
      </c>
      <c r="S8" s="2">
        <v>37</v>
      </c>
      <c r="T8" s="7" t="s">
        <v>1000</v>
      </c>
    </row>
    <row r="9" spans="2:20">
      <c r="B9" t="s">
        <v>31</v>
      </c>
      <c r="C9" t="s">
        <v>8</v>
      </c>
      <c r="D9">
        <v>49</v>
      </c>
      <c r="E9" s="17" t="s">
        <v>9</v>
      </c>
      <c r="F9" s="18">
        <v>44929</v>
      </c>
      <c r="G9">
        <v>135</v>
      </c>
      <c r="H9">
        <v>4.8</v>
      </c>
      <c r="I9">
        <f>IF(MONTH(calls[[#This Row],[Date of Call]])&lt;=6, YEAR(calls[[#This Row],[Date of Call]]), YEAR(calls[[#This Row],[Date of Call]])+1)</f>
        <v>2023</v>
      </c>
      <c r="J9" t="str">
        <f>TEXT(calls[[#This Row],[Date of Call]],"DDDD")</f>
        <v>Tuesday</v>
      </c>
      <c r="K9" t="str" cm="1">
        <f t="array" ref="K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">
        <f>ROUND(calls[[#This Row],[Satisfaction Rating]],0)</f>
        <v>5</v>
      </c>
      <c r="Q9" s="6" t="s">
        <v>7</v>
      </c>
      <c r="R9" s="3" t="s">
        <v>998</v>
      </c>
      <c r="S9" s="2">
        <v>23</v>
      </c>
      <c r="T9" s="7" t="s">
        <v>1000</v>
      </c>
    </row>
    <row r="10" spans="2:20">
      <c r="B10" t="s">
        <v>32</v>
      </c>
      <c r="C10" t="s">
        <v>15</v>
      </c>
      <c r="D10">
        <v>84</v>
      </c>
      <c r="E10" s="17" t="s">
        <v>10</v>
      </c>
      <c r="F10" s="18">
        <v>44929</v>
      </c>
      <c r="G10">
        <v>60</v>
      </c>
      <c r="H10">
        <v>4.7</v>
      </c>
      <c r="I10">
        <f>IF(MONTH(calls[[#This Row],[Date of Call]])&lt;=6, YEAR(calls[[#This Row],[Date of Call]]), YEAR(calls[[#This Row],[Date of Call]])+1)</f>
        <v>2023</v>
      </c>
      <c r="J10" t="str">
        <f>TEXT(calls[[#This Row],[Date of Call]],"DDDD")</f>
        <v>Tuesday</v>
      </c>
      <c r="K10" t="str" cm="1">
        <f t="array" ref="K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">
        <f>ROUND(calls[[#This Row],[Satisfaction Rating]],0)</f>
        <v>5</v>
      </c>
      <c r="Q10" s="6" t="s">
        <v>15</v>
      </c>
      <c r="R10" s="3" t="s">
        <v>999</v>
      </c>
      <c r="S10" s="2">
        <v>22</v>
      </c>
      <c r="T10" s="7" t="s">
        <v>1001</v>
      </c>
    </row>
    <row r="11" spans="2:20">
      <c r="B11" t="s">
        <v>33</v>
      </c>
      <c r="C11" t="s">
        <v>20</v>
      </c>
      <c r="D11">
        <v>103</v>
      </c>
      <c r="E11" s="17" t="s">
        <v>13</v>
      </c>
      <c r="F11" s="18">
        <v>44929</v>
      </c>
      <c r="G11">
        <v>148</v>
      </c>
      <c r="H11">
        <v>4.4000000000000004</v>
      </c>
      <c r="I11">
        <f>IF(MONTH(calls[[#This Row],[Date of Call]])&lt;=6, YEAR(calls[[#This Row],[Date of Call]]), YEAR(calls[[#This Row],[Date of Call]])+1)</f>
        <v>2023</v>
      </c>
      <c r="J11" t="str">
        <f>TEXT(calls[[#This Row],[Date of Call]],"DDDD")</f>
        <v>Tuesday</v>
      </c>
      <c r="K11" t="str" cm="1">
        <f t="array" ref="K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">
        <f>ROUND(calls[[#This Row],[Satisfaction Rating]],0)</f>
        <v>4</v>
      </c>
      <c r="Q11" s="6" t="s">
        <v>5</v>
      </c>
      <c r="R11" s="3" t="s">
        <v>999</v>
      </c>
      <c r="S11" s="2">
        <v>42</v>
      </c>
      <c r="T11" s="7" t="s">
        <v>1001</v>
      </c>
    </row>
    <row r="12" spans="2:20">
      <c r="B12" t="s">
        <v>34</v>
      </c>
      <c r="C12" t="s">
        <v>23</v>
      </c>
      <c r="D12">
        <v>31</v>
      </c>
      <c r="E12" s="17" t="s">
        <v>9</v>
      </c>
      <c r="F12" s="18">
        <v>44929</v>
      </c>
      <c r="G12">
        <v>135</v>
      </c>
      <c r="H12">
        <v>3.6</v>
      </c>
      <c r="I12">
        <f>IF(MONTH(calls[[#This Row],[Date of Call]])&lt;=6, YEAR(calls[[#This Row],[Date of Call]]), YEAR(calls[[#This Row],[Date of Call]])+1)</f>
        <v>2023</v>
      </c>
      <c r="J12" t="str">
        <f>TEXT(calls[[#This Row],[Date of Call]],"DDDD")</f>
        <v>Tuesday</v>
      </c>
      <c r="K12" t="str" cm="1">
        <f t="array" ref="K1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2">
        <f>ROUND(calls[[#This Row],[Satisfaction Rating]],0)</f>
        <v>4</v>
      </c>
      <c r="Q12" s="6" t="s">
        <v>22</v>
      </c>
      <c r="R12" s="3" t="s">
        <v>999</v>
      </c>
      <c r="S12" s="2">
        <v>25</v>
      </c>
      <c r="T12" s="7" t="s">
        <v>1000</v>
      </c>
    </row>
    <row r="13" spans="2:20">
      <c r="B13" t="s">
        <v>35</v>
      </c>
      <c r="C13" t="s">
        <v>18</v>
      </c>
      <c r="D13">
        <v>44</v>
      </c>
      <c r="E13" s="17" t="s">
        <v>6</v>
      </c>
      <c r="F13" s="18">
        <v>44929</v>
      </c>
      <c r="G13">
        <v>105</v>
      </c>
      <c r="H13">
        <v>2.9</v>
      </c>
      <c r="I13">
        <f>IF(MONTH(calls[[#This Row],[Date of Call]])&lt;=6, YEAR(calls[[#This Row],[Date of Call]]), YEAR(calls[[#This Row],[Date of Call]])+1)</f>
        <v>2023</v>
      </c>
      <c r="J13" t="str">
        <f>TEXT(calls[[#This Row],[Date of Call]],"DDDD")</f>
        <v>Tuesday</v>
      </c>
      <c r="K13" t="str" cm="1">
        <f t="array" ref="K1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3">
        <f>ROUND(calls[[#This Row],[Satisfaction Rating]],0)</f>
        <v>3</v>
      </c>
      <c r="Q13" s="6" t="s">
        <v>18</v>
      </c>
      <c r="R13" s="3" t="s">
        <v>999</v>
      </c>
      <c r="S13" s="2">
        <v>30</v>
      </c>
      <c r="T13" s="7" t="s">
        <v>1001</v>
      </c>
    </row>
    <row r="14" spans="2:20">
      <c r="B14" t="s">
        <v>36</v>
      </c>
      <c r="C14" t="s">
        <v>8</v>
      </c>
      <c r="D14">
        <v>102</v>
      </c>
      <c r="E14" s="17" t="s">
        <v>9</v>
      </c>
      <c r="F14" s="18">
        <v>44929</v>
      </c>
      <c r="G14">
        <v>69</v>
      </c>
      <c r="H14">
        <v>4.9000000000000004</v>
      </c>
      <c r="I14">
        <f>IF(MONTH(calls[[#This Row],[Date of Call]])&lt;=6, YEAR(calls[[#This Row],[Date of Call]]), YEAR(calls[[#This Row],[Date of Call]])+1)</f>
        <v>2023</v>
      </c>
      <c r="J14" t="str">
        <f>TEXT(calls[[#This Row],[Date of Call]],"DDDD")</f>
        <v>Tuesday</v>
      </c>
      <c r="K14" t="str" cm="1">
        <f t="array" ref="K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">
        <f>ROUND(calls[[#This Row],[Satisfaction Rating]],0)</f>
        <v>5</v>
      </c>
      <c r="Q14" s="6" t="s">
        <v>8</v>
      </c>
      <c r="R14" s="3" t="s">
        <v>999</v>
      </c>
      <c r="S14" s="2">
        <v>30</v>
      </c>
      <c r="T14" s="7" t="s">
        <v>1002</v>
      </c>
    </row>
    <row r="15" spans="2:20">
      <c r="B15" t="s">
        <v>37</v>
      </c>
      <c r="C15" t="s">
        <v>14</v>
      </c>
      <c r="D15">
        <v>135</v>
      </c>
      <c r="E15" s="17" t="s">
        <v>10</v>
      </c>
      <c r="F15" s="18">
        <v>44929</v>
      </c>
      <c r="G15">
        <v>46</v>
      </c>
      <c r="H15">
        <v>3.4</v>
      </c>
      <c r="I15">
        <f>IF(MONTH(calls[[#This Row],[Date of Call]])&lt;=6, YEAR(calls[[#This Row],[Date of Call]]), YEAR(calls[[#This Row],[Date of Call]])+1)</f>
        <v>2023</v>
      </c>
      <c r="J15" t="str">
        <f>TEXT(calls[[#This Row],[Date of Call]],"DDDD")</f>
        <v>Tuesday</v>
      </c>
      <c r="K15" t="str" cm="1">
        <f t="array" ref="K1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">
        <f>ROUND(calls[[#This Row],[Satisfaction Rating]],0)</f>
        <v>3</v>
      </c>
      <c r="Q15" s="6" t="s">
        <v>16</v>
      </c>
      <c r="R15" s="3" t="s">
        <v>999</v>
      </c>
      <c r="S15" s="2">
        <v>28</v>
      </c>
      <c r="T15" s="7" t="s">
        <v>1002</v>
      </c>
    </row>
    <row r="16" spans="2:20">
      <c r="B16" t="s">
        <v>38</v>
      </c>
      <c r="C16" t="s">
        <v>24</v>
      </c>
      <c r="D16">
        <v>98</v>
      </c>
      <c r="E16" s="17" t="s">
        <v>9</v>
      </c>
      <c r="F16" s="18">
        <v>44930</v>
      </c>
      <c r="G16">
        <v>108</v>
      </c>
      <c r="H16">
        <v>3.5</v>
      </c>
      <c r="I16">
        <f>IF(MONTH(calls[[#This Row],[Date of Call]])&lt;=6, YEAR(calls[[#This Row],[Date of Call]]), YEAR(calls[[#This Row],[Date of Call]])+1)</f>
        <v>2023</v>
      </c>
      <c r="J16" t="str">
        <f>TEXT(calls[[#This Row],[Date of Call]],"DDDD")</f>
        <v>Wednesday</v>
      </c>
      <c r="K16" t="str" cm="1">
        <f t="array" ref="K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">
        <f>ROUND(calls[[#This Row],[Satisfaction Rating]],0)</f>
        <v>4</v>
      </c>
      <c r="Q16" s="6" t="s">
        <v>14</v>
      </c>
      <c r="R16" s="3" t="s">
        <v>999</v>
      </c>
      <c r="S16" s="2">
        <v>37</v>
      </c>
      <c r="T16" s="7" t="s">
        <v>1001</v>
      </c>
    </row>
    <row r="17" spans="2:20">
      <c r="B17" t="s">
        <v>39</v>
      </c>
      <c r="C17" t="s">
        <v>18</v>
      </c>
      <c r="D17">
        <v>139</v>
      </c>
      <c r="E17" s="17" t="s">
        <v>9</v>
      </c>
      <c r="F17" s="18">
        <v>44930</v>
      </c>
      <c r="G17">
        <v>96</v>
      </c>
      <c r="H17">
        <v>4</v>
      </c>
      <c r="I17">
        <f>IF(MONTH(calls[[#This Row],[Date of Call]])&lt;=6, YEAR(calls[[#This Row],[Date of Call]]), YEAR(calls[[#This Row],[Date of Call]])+1)</f>
        <v>2023</v>
      </c>
      <c r="J17" t="str">
        <f>TEXT(calls[[#This Row],[Date of Call]],"DDDD")</f>
        <v>Wednesday</v>
      </c>
      <c r="K17" t="str" cm="1">
        <f t="array" ref="K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7">
        <f>ROUND(calls[[#This Row],[Satisfaction Rating]],0)</f>
        <v>4</v>
      </c>
      <c r="Q17" s="6" t="s">
        <v>21</v>
      </c>
      <c r="R17" s="3" t="s">
        <v>999</v>
      </c>
      <c r="S17" s="2">
        <v>38</v>
      </c>
      <c r="T17" s="7" t="s">
        <v>1000</v>
      </c>
    </row>
    <row r="18" spans="2:20">
      <c r="B18" t="s">
        <v>40</v>
      </c>
      <c r="C18" t="s">
        <v>14</v>
      </c>
      <c r="D18">
        <v>48</v>
      </c>
      <c r="E18" s="17" t="s">
        <v>11</v>
      </c>
      <c r="F18" s="18">
        <v>44930</v>
      </c>
      <c r="G18">
        <v>68</v>
      </c>
      <c r="H18">
        <v>4.9000000000000004</v>
      </c>
      <c r="I18">
        <f>IF(MONTH(calls[[#This Row],[Date of Call]])&lt;=6, YEAR(calls[[#This Row],[Date of Call]]), YEAR(calls[[#This Row],[Date of Call]])+1)</f>
        <v>2023</v>
      </c>
      <c r="J18" t="str">
        <f>TEXT(calls[[#This Row],[Date of Call]],"DDDD")</f>
        <v>Wednesday</v>
      </c>
      <c r="K18" t="str" cm="1">
        <f t="array" ref="K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8">
        <f>ROUND(calls[[#This Row],[Satisfaction Rating]],0)</f>
        <v>5</v>
      </c>
      <c r="Q18" s="11" t="s">
        <v>19</v>
      </c>
      <c r="R18" s="19" t="s">
        <v>999</v>
      </c>
      <c r="S18" s="12">
        <v>43</v>
      </c>
      <c r="T18" s="13" t="s">
        <v>1001</v>
      </c>
    </row>
    <row r="19" spans="2:20">
      <c r="B19" t="s">
        <v>41</v>
      </c>
      <c r="C19" t="s">
        <v>18</v>
      </c>
      <c r="D19">
        <v>176</v>
      </c>
      <c r="E19" s="17" t="s">
        <v>10</v>
      </c>
      <c r="F19" s="18">
        <v>44931</v>
      </c>
      <c r="G19">
        <v>24</v>
      </c>
      <c r="H19">
        <v>4.8</v>
      </c>
      <c r="I19">
        <f>IF(MONTH(calls[[#This Row],[Date of Call]])&lt;=6, YEAR(calls[[#This Row],[Date of Call]]), YEAR(calls[[#This Row],[Date of Call]])+1)</f>
        <v>2023</v>
      </c>
      <c r="J19" t="str">
        <f>TEXT(calls[[#This Row],[Date of Call]],"DDDD")</f>
        <v>Thursday</v>
      </c>
      <c r="K19" t="str" cm="1">
        <f t="array" ref="K1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9">
        <f>ROUND(calls[[#This Row],[Satisfaction Rating]],0)</f>
        <v>5</v>
      </c>
    </row>
    <row r="20" spans="2:20">
      <c r="B20" t="s">
        <v>42</v>
      </c>
      <c r="C20" t="s">
        <v>18</v>
      </c>
      <c r="D20">
        <v>99</v>
      </c>
      <c r="E20" s="17" t="s">
        <v>11</v>
      </c>
      <c r="F20" s="18">
        <v>44931</v>
      </c>
      <c r="G20">
        <v>195</v>
      </c>
      <c r="H20">
        <v>3.9</v>
      </c>
      <c r="I20">
        <f>IF(MONTH(calls[[#This Row],[Date of Call]])&lt;=6, YEAR(calls[[#This Row],[Date of Call]]), YEAR(calls[[#This Row],[Date of Call]])+1)</f>
        <v>2023</v>
      </c>
      <c r="J20" t="str">
        <f>TEXT(calls[[#This Row],[Date of Call]],"DDDD")</f>
        <v>Thursday</v>
      </c>
      <c r="K20" t="str" cm="1">
        <f t="array" ref="K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">
        <f>ROUND(calls[[#This Row],[Satisfaction Rating]],0)</f>
        <v>4</v>
      </c>
    </row>
    <row r="21" spans="2:20">
      <c r="B21" t="s">
        <v>43</v>
      </c>
      <c r="C21" t="s">
        <v>22</v>
      </c>
      <c r="D21">
        <v>28</v>
      </c>
      <c r="E21" s="17" t="s">
        <v>6</v>
      </c>
      <c r="F21" s="18">
        <v>44931</v>
      </c>
      <c r="G21">
        <v>28</v>
      </c>
      <c r="H21">
        <v>3.8</v>
      </c>
      <c r="I21">
        <f>IF(MONTH(calls[[#This Row],[Date of Call]])&lt;=6, YEAR(calls[[#This Row],[Date of Call]]), YEAR(calls[[#This Row],[Date of Call]])+1)</f>
        <v>2023</v>
      </c>
      <c r="J21" t="str">
        <f>TEXT(calls[[#This Row],[Date of Call]],"DDDD")</f>
        <v>Thursday</v>
      </c>
      <c r="K21" t="str" cm="1">
        <f t="array" ref="K2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1">
        <f>ROUND(calls[[#This Row],[Satisfaction Rating]],0)</f>
        <v>4</v>
      </c>
    </row>
    <row r="22" spans="2:20">
      <c r="B22" t="s">
        <v>44</v>
      </c>
      <c r="C22" t="s">
        <v>15</v>
      </c>
      <c r="D22">
        <v>54</v>
      </c>
      <c r="E22" s="17" t="s">
        <v>9</v>
      </c>
      <c r="F22" s="18">
        <v>44931</v>
      </c>
      <c r="G22">
        <v>170</v>
      </c>
      <c r="H22">
        <v>4.3</v>
      </c>
      <c r="I22">
        <f>IF(MONTH(calls[[#This Row],[Date of Call]])&lt;=6, YEAR(calls[[#This Row],[Date of Call]]), YEAR(calls[[#This Row],[Date of Call]])+1)</f>
        <v>2023</v>
      </c>
      <c r="J22" t="str">
        <f>TEXT(calls[[#This Row],[Date of Call]],"DDDD")</f>
        <v>Thursday</v>
      </c>
      <c r="K22" t="str" cm="1">
        <f t="array" ref="K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2">
        <f>ROUND(calls[[#This Row],[Satisfaction Rating]],0)</f>
        <v>4</v>
      </c>
    </row>
    <row r="23" spans="2:20">
      <c r="B23" t="s">
        <v>45</v>
      </c>
      <c r="C23" t="s">
        <v>7</v>
      </c>
      <c r="D23">
        <v>48</v>
      </c>
      <c r="E23" s="17" t="s">
        <v>10</v>
      </c>
      <c r="F23" s="18">
        <v>44932</v>
      </c>
      <c r="G23">
        <v>30</v>
      </c>
      <c r="H23">
        <v>4.4000000000000004</v>
      </c>
      <c r="I23">
        <f>IF(MONTH(calls[[#This Row],[Date of Call]])&lt;=6, YEAR(calls[[#This Row],[Date of Call]]), YEAR(calls[[#This Row],[Date of Call]])+1)</f>
        <v>2023</v>
      </c>
      <c r="J23" t="str">
        <f>TEXT(calls[[#This Row],[Date of Call]],"DDDD")</f>
        <v>Friday</v>
      </c>
      <c r="K23" t="str" cm="1">
        <f t="array" ref="K2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3">
        <f>ROUND(calls[[#This Row],[Satisfaction Rating]],0)</f>
        <v>4</v>
      </c>
    </row>
    <row r="24" spans="2:20">
      <c r="B24" t="s">
        <v>46</v>
      </c>
      <c r="C24" t="s">
        <v>12</v>
      </c>
      <c r="D24">
        <v>128</v>
      </c>
      <c r="E24" s="17" t="s">
        <v>10</v>
      </c>
      <c r="F24" s="18">
        <v>44932</v>
      </c>
      <c r="G24">
        <v>72</v>
      </c>
      <c r="H24">
        <v>5</v>
      </c>
      <c r="I24">
        <f>IF(MONTH(calls[[#This Row],[Date of Call]])&lt;=6, YEAR(calls[[#This Row],[Date of Call]]), YEAR(calls[[#This Row],[Date of Call]])+1)</f>
        <v>2023</v>
      </c>
      <c r="J24" t="str">
        <f>TEXT(calls[[#This Row],[Date of Call]],"DDDD")</f>
        <v>Friday</v>
      </c>
      <c r="K24" t="str" cm="1">
        <f t="array" ref="K2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4">
        <f>ROUND(calls[[#This Row],[Satisfaction Rating]],0)</f>
        <v>5</v>
      </c>
    </row>
    <row r="25" spans="2:20">
      <c r="B25" t="s">
        <v>47</v>
      </c>
      <c r="C25" t="s">
        <v>12</v>
      </c>
      <c r="D25">
        <v>38</v>
      </c>
      <c r="E25" s="17" t="s">
        <v>13</v>
      </c>
      <c r="F25" s="18">
        <v>44933</v>
      </c>
      <c r="G25">
        <v>92</v>
      </c>
      <c r="H25">
        <v>4.9000000000000004</v>
      </c>
      <c r="I25">
        <f>IF(MONTH(calls[[#This Row],[Date of Call]])&lt;=6, YEAR(calls[[#This Row],[Date of Call]]), YEAR(calls[[#This Row],[Date of Call]])+1)</f>
        <v>2023</v>
      </c>
      <c r="J25" t="str">
        <f>TEXT(calls[[#This Row],[Date of Call]],"DDDD")</f>
        <v>Saturday</v>
      </c>
      <c r="K25" t="str" cm="1">
        <f t="array" ref="K2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">
        <f>ROUND(calls[[#This Row],[Satisfaction Rating]],0)</f>
        <v>5</v>
      </c>
    </row>
    <row r="26" spans="2:20">
      <c r="B26" t="s">
        <v>48</v>
      </c>
      <c r="C26" t="s">
        <v>20</v>
      </c>
      <c r="D26">
        <v>67</v>
      </c>
      <c r="E26" s="17" t="s">
        <v>13</v>
      </c>
      <c r="F26" s="18">
        <v>44934</v>
      </c>
      <c r="G26">
        <v>165</v>
      </c>
      <c r="H26">
        <v>4.5</v>
      </c>
      <c r="I26">
        <f>IF(MONTH(calls[[#This Row],[Date of Call]])&lt;=6, YEAR(calls[[#This Row],[Date of Call]]), YEAR(calls[[#This Row],[Date of Call]])+1)</f>
        <v>2023</v>
      </c>
      <c r="J26" t="str">
        <f>TEXT(calls[[#This Row],[Date of Call]],"DDDD")</f>
        <v>Sunday</v>
      </c>
      <c r="K26" t="str" cm="1">
        <f t="array" ref="K2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">
        <f>ROUND(calls[[#This Row],[Satisfaction Rating]],0)</f>
        <v>5</v>
      </c>
    </row>
    <row r="27" spans="2:20">
      <c r="B27" t="s">
        <v>49</v>
      </c>
      <c r="C27" t="s">
        <v>19</v>
      </c>
      <c r="D27">
        <v>58</v>
      </c>
      <c r="E27" s="17" t="s">
        <v>9</v>
      </c>
      <c r="F27" s="18">
        <v>44934</v>
      </c>
      <c r="G27">
        <v>140</v>
      </c>
      <c r="H27">
        <v>2.1</v>
      </c>
      <c r="I27">
        <f>IF(MONTH(calls[[#This Row],[Date of Call]])&lt;=6, YEAR(calls[[#This Row],[Date of Call]]), YEAR(calls[[#This Row],[Date of Call]])+1)</f>
        <v>2023</v>
      </c>
      <c r="J27" t="str">
        <f>TEXT(calls[[#This Row],[Date of Call]],"DDDD")</f>
        <v>Sunday</v>
      </c>
      <c r="K27" t="str" cm="1">
        <f t="array" ref="K2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7">
        <f>ROUND(calls[[#This Row],[Satisfaction Rating]],0)</f>
        <v>2</v>
      </c>
    </row>
    <row r="28" spans="2:20">
      <c r="B28" t="s">
        <v>50</v>
      </c>
      <c r="C28" t="s">
        <v>18</v>
      </c>
      <c r="D28">
        <v>54</v>
      </c>
      <c r="E28" s="17" t="s">
        <v>11</v>
      </c>
      <c r="F28" s="18">
        <v>44934</v>
      </c>
      <c r="G28">
        <v>111</v>
      </c>
      <c r="H28">
        <v>3.3</v>
      </c>
      <c r="I28">
        <f>IF(MONTH(calls[[#This Row],[Date of Call]])&lt;=6, YEAR(calls[[#This Row],[Date of Call]]), YEAR(calls[[#This Row],[Date of Call]])+1)</f>
        <v>2023</v>
      </c>
      <c r="J28" t="str">
        <f>TEXT(calls[[#This Row],[Date of Call]],"DDDD")</f>
        <v>Sunday</v>
      </c>
      <c r="K28" t="str" cm="1">
        <f t="array" ref="K2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8">
        <f>ROUND(calls[[#This Row],[Satisfaction Rating]],0)</f>
        <v>3</v>
      </c>
    </row>
    <row r="29" spans="2:20">
      <c r="B29" t="s">
        <v>51</v>
      </c>
      <c r="C29" t="s">
        <v>16</v>
      </c>
      <c r="D29">
        <v>28</v>
      </c>
      <c r="E29" s="17" t="s">
        <v>10</v>
      </c>
      <c r="F29" s="18">
        <v>44935</v>
      </c>
      <c r="G29">
        <v>63</v>
      </c>
      <c r="H29">
        <v>4.0999999999999996</v>
      </c>
      <c r="I29">
        <f>IF(MONTH(calls[[#This Row],[Date of Call]])&lt;=6, YEAR(calls[[#This Row],[Date of Call]]), YEAR(calls[[#This Row],[Date of Call]])+1)</f>
        <v>2023</v>
      </c>
      <c r="J29" t="str">
        <f>TEXT(calls[[#This Row],[Date of Call]],"DDDD")</f>
        <v>Monday</v>
      </c>
      <c r="K29" t="str" cm="1">
        <f t="array" ref="K2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9">
        <f>ROUND(calls[[#This Row],[Satisfaction Rating]],0)</f>
        <v>4</v>
      </c>
    </row>
    <row r="30" spans="2:20">
      <c r="B30" t="s">
        <v>52</v>
      </c>
      <c r="C30" t="s">
        <v>24</v>
      </c>
      <c r="D30">
        <v>73</v>
      </c>
      <c r="E30" s="17" t="s">
        <v>10</v>
      </c>
      <c r="F30" s="18">
        <v>44935</v>
      </c>
      <c r="G30">
        <v>80</v>
      </c>
      <c r="H30">
        <v>4.2</v>
      </c>
      <c r="I30">
        <f>IF(MONTH(calls[[#This Row],[Date of Call]])&lt;=6, YEAR(calls[[#This Row],[Date of Call]]), YEAR(calls[[#This Row],[Date of Call]])+1)</f>
        <v>2023</v>
      </c>
      <c r="J30" t="str">
        <f>TEXT(calls[[#This Row],[Date of Call]],"DDDD")</f>
        <v>Monday</v>
      </c>
      <c r="K30" t="str" cm="1">
        <f t="array" ref="K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">
        <f>ROUND(calls[[#This Row],[Satisfaction Rating]],0)</f>
        <v>4</v>
      </c>
    </row>
    <row r="31" spans="2:20">
      <c r="B31" t="s">
        <v>53</v>
      </c>
      <c r="C31" t="s">
        <v>8</v>
      </c>
      <c r="D31">
        <v>81</v>
      </c>
      <c r="E31" s="17" t="s">
        <v>10</v>
      </c>
      <c r="F31" s="18">
        <v>44936</v>
      </c>
      <c r="G31">
        <v>50</v>
      </c>
      <c r="H31">
        <v>4.5999999999999996</v>
      </c>
      <c r="I31">
        <f>IF(MONTH(calls[[#This Row],[Date of Call]])&lt;=6, YEAR(calls[[#This Row],[Date of Call]]), YEAR(calls[[#This Row],[Date of Call]])+1)</f>
        <v>2023</v>
      </c>
      <c r="J31" t="str">
        <f>TEXT(calls[[#This Row],[Date of Call]],"DDDD")</f>
        <v>Tuesday</v>
      </c>
      <c r="K31" t="str" cm="1">
        <f t="array" ref="K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">
        <f>ROUND(calls[[#This Row],[Satisfaction Rating]],0)</f>
        <v>5</v>
      </c>
    </row>
    <row r="32" spans="2:20">
      <c r="B32" t="s">
        <v>54</v>
      </c>
      <c r="C32" t="s">
        <v>22</v>
      </c>
      <c r="D32">
        <v>31</v>
      </c>
      <c r="E32" s="17" t="s">
        <v>13</v>
      </c>
      <c r="F32" s="18">
        <v>44936</v>
      </c>
      <c r="G32">
        <v>123</v>
      </c>
      <c r="H32">
        <v>2.9</v>
      </c>
      <c r="I32">
        <f>IF(MONTH(calls[[#This Row],[Date of Call]])&lt;=6, YEAR(calls[[#This Row],[Date of Call]]), YEAR(calls[[#This Row],[Date of Call]])+1)</f>
        <v>2023</v>
      </c>
      <c r="J32" t="str">
        <f>TEXT(calls[[#This Row],[Date of Call]],"DDDD")</f>
        <v>Tuesday</v>
      </c>
      <c r="K32" t="str" cm="1">
        <f t="array" ref="K3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2">
        <f>ROUND(calls[[#This Row],[Satisfaction Rating]],0)</f>
        <v>3</v>
      </c>
    </row>
    <row r="33" spans="2:12">
      <c r="B33" t="s">
        <v>55</v>
      </c>
      <c r="C33" t="s">
        <v>19</v>
      </c>
      <c r="D33">
        <v>155</v>
      </c>
      <c r="E33" s="17" t="s">
        <v>11</v>
      </c>
      <c r="F33" s="18">
        <v>44936</v>
      </c>
      <c r="G33">
        <v>110</v>
      </c>
      <c r="H33">
        <v>4.8</v>
      </c>
      <c r="I33">
        <f>IF(MONTH(calls[[#This Row],[Date of Call]])&lt;=6, YEAR(calls[[#This Row],[Date of Call]]), YEAR(calls[[#This Row],[Date of Call]])+1)</f>
        <v>2023</v>
      </c>
      <c r="J33" t="str">
        <f>TEXT(calls[[#This Row],[Date of Call]],"DDDD")</f>
        <v>Tuesday</v>
      </c>
      <c r="K33" t="str" cm="1">
        <f t="array" ref="K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3">
        <f>ROUND(calls[[#This Row],[Satisfaction Rating]],0)</f>
        <v>5</v>
      </c>
    </row>
    <row r="34" spans="2:12">
      <c r="B34" t="s">
        <v>56</v>
      </c>
      <c r="C34" t="s">
        <v>22</v>
      </c>
      <c r="D34">
        <v>80</v>
      </c>
      <c r="E34" s="17" t="s">
        <v>10</v>
      </c>
      <c r="F34" s="18">
        <v>44936</v>
      </c>
      <c r="G34">
        <v>140</v>
      </c>
      <c r="H34">
        <v>4.2</v>
      </c>
      <c r="I34">
        <f>IF(MONTH(calls[[#This Row],[Date of Call]])&lt;=6, YEAR(calls[[#This Row],[Date of Call]]), YEAR(calls[[#This Row],[Date of Call]])+1)</f>
        <v>2023</v>
      </c>
      <c r="J34" t="str">
        <f>TEXT(calls[[#This Row],[Date of Call]],"DDDD")</f>
        <v>Tuesday</v>
      </c>
      <c r="K34" t="str" cm="1">
        <f t="array" ref="K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">
        <f>ROUND(calls[[#This Row],[Satisfaction Rating]],0)</f>
        <v>4</v>
      </c>
    </row>
    <row r="35" spans="2:12">
      <c r="B35" t="s">
        <v>57</v>
      </c>
      <c r="C35" t="s">
        <v>8</v>
      </c>
      <c r="D35">
        <v>82</v>
      </c>
      <c r="E35" s="17" t="s">
        <v>10</v>
      </c>
      <c r="F35" s="18">
        <v>44938</v>
      </c>
      <c r="G35">
        <v>42</v>
      </c>
      <c r="H35">
        <v>3.7</v>
      </c>
      <c r="I35">
        <f>IF(MONTH(calls[[#This Row],[Date of Call]])&lt;=6, YEAR(calls[[#This Row],[Date of Call]]), YEAR(calls[[#This Row],[Date of Call]])+1)</f>
        <v>2023</v>
      </c>
      <c r="J35" t="str">
        <f>TEXT(calls[[#This Row],[Date of Call]],"DDDD")</f>
        <v>Thursday</v>
      </c>
      <c r="K35" t="str" cm="1">
        <f t="array" ref="K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">
        <f>ROUND(calls[[#This Row],[Satisfaction Rating]],0)</f>
        <v>4</v>
      </c>
    </row>
    <row r="36" spans="2:12">
      <c r="B36" t="s">
        <v>58</v>
      </c>
      <c r="C36" t="s">
        <v>8</v>
      </c>
      <c r="D36">
        <v>29</v>
      </c>
      <c r="E36" s="17" t="s">
        <v>11</v>
      </c>
      <c r="F36" s="18">
        <v>44938</v>
      </c>
      <c r="G36">
        <v>170</v>
      </c>
      <c r="H36">
        <v>5</v>
      </c>
      <c r="I36">
        <f>IF(MONTH(calls[[#This Row],[Date of Call]])&lt;=6, YEAR(calls[[#This Row],[Date of Call]]), YEAR(calls[[#This Row],[Date of Call]])+1)</f>
        <v>2023</v>
      </c>
      <c r="J36" t="str">
        <f>TEXT(calls[[#This Row],[Date of Call]],"DDDD")</f>
        <v>Thursday</v>
      </c>
      <c r="K36" t="str" cm="1">
        <f t="array" ref="K3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6">
        <f>ROUND(calls[[#This Row],[Satisfaction Rating]],0)</f>
        <v>5</v>
      </c>
    </row>
    <row r="37" spans="2:12">
      <c r="B37" t="s">
        <v>59</v>
      </c>
      <c r="C37" t="s">
        <v>7</v>
      </c>
      <c r="D37">
        <v>160</v>
      </c>
      <c r="E37" s="17" t="s">
        <v>9</v>
      </c>
      <c r="F37" s="18">
        <v>44940</v>
      </c>
      <c r="G37">
        <v>105</v>
      </c>
      <c r="H37">
        <v>5</v>
      </c>
      <c r="I37">
        <f>IF(MONTH(calls[[#This Row],[Date of Call]])&lt;=6, YEAR(calls[[#This Row],[Date of Call]]), YEAR(calls[[#This Row],[Date of Call]])+1)</f>
        <v>2023</v>
      </c>
      <c r="J37" t="str">
        <f>TEXT(calls[[#This Row],[Date of Call]],"DDDD")</f>
        <v>Saturday</v>
      </c>
      <c r="K37" t="str" cm="1">
        <f t="array" ref="K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">
        <f>ROUND(calls[[#This Row],[Satisfaction Rating]],0)</f>
        <v>5</v>
      </c>
    </row>
    <row r="38" spans="2:12">
      <c r="B38" t="s">
        <v>60</v>
      </c>
      <c r="C38" t="s">
        <v>17</v>
      </c>
      <c r="D38">
        <v>105</v>
      </c>
      <c r="E38" s="17" t="s">
        <v>10</v>
      </c>
      <c r="F38" s="18">
        <v>44941</v>
      </c>
      <c r="G38">
        <v>125</v>
      </c>
      <c r="H38">
        <v>4.8</v>
      </c>
      <c r="I38">
        <f>IF(MONTH(calls[[#This Row],[Date of Call]])&lt;=6, YEAR(calls[[#This Row],[Date of Call]]), YEAR(calls[[#This Row],[Date of Call]])+1)</f>
        <v>2023</v>
      </c>
      <c r="J38" t="str">
        <f>TEXT(calls[[#This Row],[Date of Call]],"DDDD")</f>
        <v>Sunday</v>
      </c>
      <c r="K38" t="str" cm="1">
        <f t="array" ref="K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">
        <f>ROUND(calls[[#This Row],[Satisfaction Rating]],0)</f>
        <v>5</v>
      </c>
    </row>
    <row r="39" spans="2:12">
      <c r="B39" t="s">
        <v>61</v>
      </c>
      <c r="C39" t="s">
        <v>22</v>
      </c>
      <c r="D39">
        <v>75</v>
      </c>
      <c r="E39" s="17" t="s">
        <v>6</v>
      </c>
      <c r="F39" s="18">
        <v>44941</v>
      </c>
      <c r="G39">
        <v>26</v>
      </c>
      <c r="H39">
        <v>2.4</v>
      </c>
      <c r="I39">
        <f>IF(MONTH(calls[[#This Row],[Date of Call]])&lt;=6, YEAR(calls[[#This Row],[Date of Call]]), YEAR(calls[[#This Row],[Date of Call]])+1)</f>
        <v>2023</v>
      </c>
      <c r="J39" t="str">
        <f>TEXT(calls[[#This Row],[Date of Call]],"DDDD")</f>
        <v>Sunday</v>
      </c>
      <c r="K39" t="str" cm="1">
        <f t="array" ref="K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">
        <f>ROUND(calls[[#This Row],[Satisfaction Rating]],0)</f>
        <v>2</v>
      </c>
    </row>
    <row r="40" spans="2:12">
      <c r="B40" t="s">
        <v>62</v>
      </c>
      <c r="C40" t="s">
        <v>19</v>
      </c>
      <c r="D40">
        <v>94</v>
      </c>
      <c r="E40" s="17" t="s">
        <v>6</v>
      </c>
      <c r="F40" s="18">
        <v>44942</v>
      </c>
      <c r="G40">
        <v>120</v>
      </c>
      <c r="H40">
        <v>3.1</v>
      </c>
      <c r="I40">
        <f>IF(MONTH(calls[[#This Row],[Date of Call]])&lt;=6, YEAR(calls[[#This Row],[Date of Call]]), YEAR(calls[[#This Row],[Date of Call]])+1)</f>
        <v>2023</v>
      </c>
      <c r="J40" t="str">
        <f>TEXT(calls[[#This Row],[Date of Call]],"DDDD")</f>
        <v>Monday</v>
      </c>
      <c r="K40" t="str" cm="1">
        <f t="array" ref="K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">
        <f>ROUND(calls[[#This Row],[Satisfaction Rating]],0)</f>
        <v>3</v>
      </c>
    </row>
    <row r="41" spans="2:12">
      <c r="B41" t="s">
        <v>63</v>
      </c>
      <c r="C41" t="s">
        <v>12</v>
      </c>
      <c r="D41">
        <v>90</v>
      </c>
      <c r="E41" s="17" t="s">
        <v>9</v>
      </c>
      <c r="F41" s="18">
        <v>44942</v>
      </c>
      <c r="G41">
        <v>132</v>
      </c>
      <c r="H41">
        <v>3.2</v>
      </c>
      <c r="I41">
        <f>IF(MONTH(calls[[#This Row],[Date of Call]])&lt;=6, YEAR(calls[[#This Row],[Date of Call]]), YEAR(calls[[#This Row],[Date of Call]])+1)</f>
        <v>2023</v>
      </c>
      <c r="J41" t="str">
        <f>TEXT(calls[[#This Row],[Date of Call]],"DDDD")</f>
        <v>Monday</v>
      </c>
      <c r="K41" t="str" cm="1">
        <f t="array" ref="K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">
        <f>ROUND(calls[[#This Row],[Satisfaction Rating]],0)</f>
        <v>3</v>
      </c>
    </row>
    <row r="42" spans="2:12">
      <c r="B42" t="s">
        <v>64</v>
      </c>
      <c r="C42" t="s">
        <v>19</v>
      </c>
      <c r="D42">
        <v>81</v>
      </c>
      <c r="E42" s="17" t="s">
        <v>13</v>
      </c>
      <c r="F42" s="18">
        <v>44943</v>
      </c>
      <c r="G42">
        <v>86</v>
      </c>
      <c r="H42">
        <v>2.4</v>
      </c>
      <c r="I42">
        <f>IF(MONTH(calls[[#This Row],[Date of Call]])&lt;=6, YEAR(calls[[#This Row],[Date of Call]]), YEAR(calls[[#This Row],[Date of Call]])+1)</f>
        <v>2023</v>
      </c>
      <c r="J42" t="str">
        <f>TEXT(calls[[#This Row],[Date of Call]],"DDDD")</f>
        <v>Tuesday</v>
      </c>
      <c r="K42" t="str" cm="1">
        <f t="array" ref="K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">
        <f>ROUND(calls[[#This Row],[Satisfaction Rating]],0)</f>
        <v>2</v>
      </c>
    </row>
    <row r="43" spans="2:12">
      <c r="B43" t="s">
        <v>65</v>
      </c>
      <c r="C43" t="s">
        <v>22</v>
      </c>
      <c r="D43">
        <v>106</v>
      </c>
      <c r="E43" s="17" t="s">
        <v>10</v>
      </c>
      <c r="F43" s="18">
        <v>44943</v>
      </c>
      <c r="G43">
        <v>108</v>
      </c>
      <c r="H43">
        <v>5</v>
      </c>
      <c r="I43">
        <f>IF(MONTH(calls[[#This Row],[Date of Call]])&lt;=6, YEAR(calls[[#This Row],[Date of Call]]), YEAR(calls[[#This Row],[Date of Call]])+1)</f>
        <v>2023</v>
      </c>
      <c r="J43" t="str">
        <f>TEXT(calls[[#This Row],[Date of Call]],"DDDD")</f>
        <v>Tuesday</v>
      </c>
      <c r="K43" t="str" cm="1">
        <f t="array" ref="K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">
        <f>ROUND(calls[[#This Row],[Satisfaction Rating]],0)</f>
        <v>5</v>
      </c>
    </row>
    <row r="44" spans="2:12">
      <c r="B44" t="s">
        <v>66</v>
      </c>
      <c r="C44" t="s">
        <v>12</v>
      </c>
      <c r="D44">
        <v>74</v>
      </c>
      <c r="E44" s="17" t="s">
        <v>13</v>
      </c>
      <c r="F44" s="18">
        <v>44943</v>
      </c>
      <c r="G44">
        <v>96</v>
      </c>
      <c r="H44">
        <v>4.7</v>
      </c>
      <c r="I44">
        <f>IF(MONTH(calls[[#This Row],[Date of Call]])&lt;=6, YEAR(calls[[#This Row],[Date of Call]]), YEAR(calls[[#This Row],[Date of Call]])+1)</f>
        <v>2023</v>
      </c>
      <c r="J44" t="str">
        <f>TEXT(calls[[#This Row],[Date of Call]],"DDDD")</f>
        <v>Tuesday</v>
      </c>
      <c r="K44" t="str" cm="1">
        <f t="array" ref="K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">
        <f>ROUND(calls[[#This Row],[Satisfaction Rating]],0)</f>
        <v>5</v>
      </c>
    </row>
    <row r="45" spans="2:12">
      <c r="B45" t="s">
        <v>67</v>
      </c>
      <c r="C45" t="s">
        <v>18</v>
      </c>
      <c r="D45">
        <v>105</v>
      </c>
      <c r="E45" s="17" t="s">
        <v>9</v>
      </c>
      <c r="F45" s="18">
        <v>44944</v>
      </c>
      <c r="G45">
        <v>80</v>
      </c>
      <c r="H45">
        <v>4.7</v>
      </c>
      <c r="I45">
        <f>IF(MONTH(calls[[#This Row],[Date of Call]])&lt;=6, YEAR(calls[[#This Row],[Date of Call]]), YEAR(calls[[#This Row],[Date of Call]])+1)</f>
        <v>2023</v>
      </c>
      <c r="J45" t="str">
        <f>TEXT(calls[[#This Row],[Date of Call]],"DDDD")</f>
        <v>Wednesday</v>
      </c>
      <c r="K45" t="str" cm="1">
        <f t="array" ref="K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">
        <f>ROUND(calls[[#This Row],[Satisfaction Rating]],0)</f>
        <v>5</v>
      </c>
    </row>
    <row r="46" spans="2:12">
      <c r="B46" t="s">
        <v>68</v>
      </c>
      <c r="C46" t="s">
        <v>22</v>
      </c>
      <c r="D46">
        <v>89</v>
      </c>
      <c r="E46" s="17" t="s">
        <v>10</v>
      </c>
      <c r="F46" s="18">
        <v>44944</v>
      </c>
      <c r="G46">
        <v>155</v>
      </c>
      <c r="H46">
        <v>4.0999999999999996</v>
      </c>
      <c r="I46">
        <f>IF(MONTH(calls[[#This Row],[Date of Call]])&lt;=6, YEAR(calls[[#This Row],[Date of Call]]), YEAR(calls[[#This Row],[Date of Call]])+1)</f>
        <v>2023</v>
      </c>
      <c r="J46" t="str">
        <f>TEXT(calls[[#This Row],[Date of Call]],"DDDD")</f>
        <v>Wednesday</v>
      </c>
      <c r="K46" t="str" cm="1">
        <f t="array" ref="K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">
        <f>ROUND(calls[[#This Row],[Satisfaction Rating]],0)</f>
        <v>4</v>
      </c>
    </row>
    <row r="47" spans="2:12">
      <c r="B47" t="s">
        <v>69</v>
      </c>
      <c r="C47" t="s">
        <v>14</v>
      </c>
      <c r="D47">
        <v>132</v>
      </c>
      <c r="E47" s="17" t="s">
        <v>6</v>
      </c>
      <c r="F47" s="18">
        <v>44944</v>
      </c>
      <c r="G47">
        <v>168</v>
      </c>
      <c r="H47">
        <v>4.0999999999999996</v>
      </c>
      <c r="I47">
        <f>IF(MONTH(calls[[#This Row],[Date of Call]])&lt;=6, YEAR(calls[[#This Row],[Date of Call]]), YEAR(calls[[#This Row],[Date of Call]])+1)</f>
        <v>2023</v>
      </c>
      <c r="J47" t="str">
        <f>TEXT(calls[[#This Row],[Date of Call]],"DDDD")</f>
        <v>Wednesday</v>
      </c>
      <c r="K47" t="str" cm="1">
        <f t="array" ref="K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">
        <f>ROUND(calls[[#This Row],[Satisfaction Rating]],0)</f>
        <v>4</v>
      </c>
    </row>
    <row r="48" spans="2:12">
      <c r="B48" t="s">
        <v>70</v>
      </c>
      <c r="C48" t="s">
        <v>17</v>
      </c>
      <c r="D48">
        <v>105</v>
      </c>
      <c r="E48" s="17" t="s">
        <v>11</v>
      </c>
      <c r="F48" s="18">
        <v>44944</v>
      </c>
      <c r="G48">
        <v>56</v>
      </c>
      <c r="H48">
        <v>3.6</v>
      </c>
      <c r="I48">
        <f>IF(MONTH(calls[[#This Row],[Date of Call]])&lt;=6, YEAR(calls[[#This Row],[Date of Call]]), YEAR(calls[[#This Row],[Date of Call]])+1)</f>
        <v>2023</v>
      </c>
      <c r="J48" t="str">
        <f>TEXT(calls[[#This Row],[Date of Call]],"DDDD")</f>
        <v>Wednesday</v>
      </c>
      <c r="K48" t="str" cm="1">
        <f t="array" ref="K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">
        <f>ROUND(calls[[#This Row],[Satisfaction Rating]],0)</f>
        <v>4</v>
      </c>
    </row>
    <row r="49" spans="2:12">
      <c r="B49" t="s">
        <v>71</v>
      </c>
      <c r="C49" t="s">
        <v>8</v>
      </c>
      <c r="D49">
        <v>13</v>
      </c>
      <c r="E49" s="17" t="s">
        <v>6</v>
      </c>
      <c r="F49" s="18">
        <v>44945</v>
      </c>
      <c r="G49">
        <v>32</v>
      </c>
      <c r="H49">
        <v>4.4000000000000004</v>
      </c>
      <c r="I49">
        <f>IF(MONTH(calls[[#This Row],[Date of Call]])&lt;=6, YEAR(calls[[#This Row],[Date of Call]]), YEAR(calls[[#This Row],[Date of Call]])+1)</f>
        <v>2023</v>
      </c>
      <c r="J49" t="str">
        <f>TEXT(calls[[#This Row],[Date of Call]],"DDDD")</f>
        <v>Thursday</v>
      </c>
      <c r="K49" t="str" cm="1">
        <f t="array" ref="K4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9">
        <f>ROUND(calls[[#This Row],[Satisfaction Rating]],0)</f>
        <v>4</v>
      </c>
    </row>
    <row r="50" spans="2:12">
      <c r="B50" t="s">
        <v>72</v>
      </c>
      <c r="C50" t="s">
        <v>21</v>
      </c>
      <c r="D50">
        <v>131</v>
      </c>
      <c r="E50" s="17" t="s">
        <v>11</v>
      </c>
      <c r="F50" s="18">
        <v>44945</v>
      </c>
      <c r="G50">
        <v>78</v>
      </c>
      <c r="H50">
        <v>4.4000000000000004</v>
      </c>
      <c r="I50">
        <f>IF(MONTH(calls[[#This Row],[Date of Call]])&lt;=6, YEAR(calls[[#This Row],[Date of Call]]), YEAR(calls[[#This Row],[Date of Call]])+1)</f>
        <v>2023</v>
      </c>
      <c r="J50" t="str">
        <f>TEXT(calls[[#This Row],[Date of Call]],"DDDD")</f>
        <v>Thursday</v>
      </c>
      <c r="K50" t="str" cm="1">
        <f t="array" ref="K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0">
        <f>ROUND(calls[[#This Row],[Satisfaction Rating]],0)</f>
        <v>4</v>
      </c>
    </row>
    <row r="51" spans="2:12">
      <c r="B51" t="s">
        <v>73</v>
      </c>
      <c r="C51" t="s">
        <v>12</v>
      </c>
      <c r="D51">
        <v>104</v>
      </c>
      <c r="E51" s="17" t="s">
        <v>10</v>
      </c>
      <c r="F51" s="18">
        <v>44945</v>
      </c>
      <c r="G51">
        <v>86</v>
      </c>
      <c r="H51">
        <v>4</v>
      </c>
      <c r="I51">
        <f>IF(MONTH(calls[[#This Row],[Date of Call]])&lt;=6, YEAR(calls[[#This Row],[Date of Call]]), YEAR(calls[[#This Row],[Date of Call]])+1)</f>
        <v>2023</v>
      </c>
      <c r="J51" t="str">
        <f>TEXT(calls[[#This Row],[Date of Call]],"DDDD")</f>
        <v>Thursday</v>
      </c>
      <c r="K51" t="str" cm="1">
        <f t="array" ref="K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">
        <f>ROUND(calls[[#This Row],[Satisfaction Rating]],0)</f>
        <v>4</v>
      </c>
    </row>
    <row r="52" spans="2:12">
      <c r="B52" t="s">
        <v>74</v>
      </c>
      <c r="C52" t="s">
        <v>20</v>
      </c>
      <c r="D52">
        <v>90</v>
      </c>
      <c r="E52" s="17" t="s">
        <v>9</v>
      </c>
      <c r="F52" s="18">
        <v>44946</v>
      </c>
      <c r="G52">
        <v>64</v>
      </c>
      <c r="H52">
        <v>3.8</v>
      </c>
      <c r="I52">
        <f>IF(MONTH(calls[[#This Row],[Date of Call]])&lt;=6, YEAR(calls[[#This Row],[Date of Call]]), YEAR(calls[[#This Row],[Date of Call]])+1)</f>
        <v>2023</v>
      </c>
      <c r="J52" t="str">
        <f>TEXT(calls[[#This Row],[Date of Call]],"DDDD")</f>
        <v>Friday</v>
      </c>
      <c r="K52" t="str" cm="1">
        <f t="array" ref="K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">
        <f>ROUND(calls[[#This Row],[Satisfaction Rating]],0)</f>
        <v>4</v>
      </c>
    </row>
    <row r="53" spans="2:12">
      <c r="B53" t="s">
        <v>75</v>
      </c>
      <c r="C53" t="s">
        <v>16</v>
      </c>
      <c r="D53">
        <v>37</v>
      </c>
      <c r="E53" s="17" t="s">
        <v>9</v>
      </c>
      <c r="F53" s="18">
        <v>44946</v>
      </c>
      <c r="G53">
        <v>96</v>
      </c>
      <c r="H53">
        <v>3.6</v>
      </c>
      <c r="I53">
        <f>IF(MONTH(calls[[#This Row],[Date of Call]])&lt;=6, YEAR(calls[[#This Row],[Date of Call]]), YEAR(calls[[#This Row],[Date of Call]])+1)</f>
        <v>2023</v>
      </c>
      <c r="J53" t="str">
        <f>TEXT(calls[[#This Row],[Date of Call]],"DDDD")</f>
        <v>Friday</v>
      </c>
      <c r="K53" t="str" cm="1">
        <f t="array" ref="K5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">
        <f>ROUND(calls[[#This Row],[Satisfaction Rating]],0)</f>
        <v>4</v>
      </c>
    </row>
    <row r="54" spans="2:12">
      <c r="B54" t="s">
        <v>76</v>
      </c>
      <c r="C54" t="s">
        <v>24</v>
      </c>
      <c r="D54">
        <v>149</v>
      </c>
      <c r="E54" s="17" t="s">
        <v>11</v>
      </c>
      <c r="F54" s="18">
        <v>44946</v>
      </c>
      <c r="G54">
        <v>72</v>
      </c>
      <c r="H54">
        <v>4.3</v>
      </c>
      <c r="I54">
        <f>IF(MONTH(calls[[#This Row],[Date of Call]])&lt;=6, YEAR(calls[[#This Row],[Date of Call]]), YEAR(calls[[#This Row],[Date of Call]])+1)</f>
        <v>2023</v>
      </c>
      <c r="J54" t="str">
        <f>TEXT(calls[[#This Row],[Date of Call]],"DDDD")</f>
        <v>Friday</v>
      </c>
      <c r="K54" t="str" cm="1">
        <f t="array" ref="K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">
        <f>ROUND(calls[[#This Row],[Satisfaction Rating]],0)</f>
        <v>4</v>
      </c>
    </row>
    <row r="55" spans="2:12">
      <c r="B55" t="s">
        <v>77</v>
      </c>
      <c r="C55" t="s">
        <v>14</v>
      </c>
      <c r="D55">
        <v>100</v>
      </c>
      <c r="E55" s="17" t="s">
        <v>13</v>
      </c>
      <c r="F55" s="18">
        <v>44947</v>
      </c>
      <c r="G55">
        <v>135</v>
      </c>
      <c r="H55">
        <v>3.8</v>
      </c>
      <c r="I55">
        <f>IF(MONTH(calls[[#This Row],[Date of Call]])&lt;=6, YEAR(calls[[#This Row],[Date of Call]]), YEAR(calls[[#This Row],[Date of Call]])+1)</f>
        <v>2023</v>
      </c>
      <c r="J55" t="str">
        <f>TEXT(calls[[#This Row],[Date of Call]],"DDDD")</f>
        <v>Saturday</v>
      </c>
      <c r="K55" t="str" cm="1">
        <f t="array" ref="K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">
        <f>ROUND(calls[[#This Row],[Satisfaction Rating]],0)</f>
        <v>4</v>
      </c>
    </row>
    <row r="56" spans="2:12">
      <c r="B56" t="s">
        <v>78</v>
      </c>
      <c r="C56" t="s">
        <v>14</v>
      </c>
      <c r="D56">
        <v>79</v>
      </c>
      <c r="E56" s="17" t="s">
        <v>6</v>
      </c>
      <c r="F56" s="18">
        <v>44947</v>
      </c>
      <c r="G56">
        <v>140</v>
      </c>
      <c r="H56">
        <v>4.5</v>
      </c>
      <c r="I56">
        <f>IF(MONTH(calls[[#This Row],[Date of Call]])&lt;=6, YEAR(calls[[#This Row],[Date of Call]]), YEAR(calls[[#This Row],[Date of Call]])+1)</f>
        <v>2023</v>
      </c>
      <c r="J56" t="str">
        <f>TEXT(calls[[#This Row],[Date of Call]],"DDDD")</f>
        <v>Saturday</v>
      </c>
      <c r="K56" t="str" cm="1">
        <f t="array" ref="K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">
        <f>ROUND(calls[[#This Row],[Satisfaction Rating]],0)</f>
        <v>5</v>
      </c>
    </row>
    <row r="57" spans="2:12">
      <c r="B57" t="s">
        <v>79</v>
      </c>
      <c r="C57" t="s">
        <v>5</v>
      </c>
      <c r="D57">
        <v>157</v>
      </c>
      <c r="E57" s="17" t="s">
        <v>11</v>
      </c>
      <c r="F57" s="18">
        <v>44947</v>
      </c>
      <c r="G57">
        <v>69</v>
      </c>
      <c r="H57">
        <v>4.5</v>
      </c>
      <c r="I57">
        <f>IF(MONTH(calls[[#This Row],[Date of Call]])&lt;=6, YEAR(calls[[#This Row],[Date of Call]]), YEAR(calls[[#This Row],[Date of Call]])+1)</f>
        <v>2023</v>
      </c>
      <c r="J57" t="str">
        <f>TEXT(calls[[#This Row],[Date of Call]],"DDDD")</f>
        <v>Saturday</v>
      </c>
      <c r="K57" t="str" cm="1">
        <f t="array" ref="K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">
        <f>ROUND(calls[[#This Row],[Satisfaction Rating]],0)</f>
        <v>5</v>
      </c>
    </row>
    <row r="58" spans="2:12">
      <c r="B58" t="s">
        <v>80</v>
      </c>
      <c r="C58" t="s">
        <v>14</v>
      </c>
      <c r="D58">
        <v>59</v>
      </c>
      <c r="E58" s="17" t="s">
        <v>10</v>
      </c>
      <c r="F58" s="18">
        <v>44948</v>
      </c>
      <c r="G58">
        <v>136</v>
      </c>
      <c r="H58">
        <v>4.5999999999999996</v>
      </c>
      <c r="I58">
        <f>IF(MONTH(calls[[#This Row],[Date of Call]])&lt;=6, YEAR(calls[[#This Row],[Date of Call]]), YEAR(calls[[#This Row],[Date of Call]])+1)</f>
        <v>2023</v>
      </c>
      <c r="J58" t="str">
        <f>TEXT(calls[[#This Row],[Date of Call]],"DDDD")</f>
        <v>Sunday</v>
      </c>
      <c r="K58" t="str" cm="1">
        <f t="array" ref="K5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8">
        <f>ROUND(calls[[#This Row],[Satisfaction Rating]],0)</f>
        <v>5</v>
      </c>
    </row>
    <row r="59" spans="2:12">
      <c r="B59" t="s">
        <v>81</v>
      </c>
      <c r="C59" t="s">
        <v>16</v>
      </c>
      <c r="D59">
        <v>83</v>
      </c>
      <c r="E59" s="17" t="s">
        <v>11</v>
      </c>
      <c r="F59" s="18">
        <v>44948</v>
      </c>
      <c r="G59">
        <v>28</v>
      </c>
      <c r="H59">
        <v>4.5</v>
      </c>
      <c r="I59">
        <f>IF(MONTH(calls[[#This Row],[Date of Call]])&lt;=6, YEAR(calls[[#This Row],[Date of Call]]), YEAR(calls[[#This Row],[Date of Call]])+1)</f>
        <v>2023</v>
      </c>
      <c r="J59" t="str">
        <f>TEXT(calls[[#This Row],[Date of Call]],"DDDD")</f>
        <v>Sunday</v>
      </c>
      <c r="K59" t="str" cm="1">
        <f t="array" ref="K5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">
        <f>ROUND(calls[[#This Row],[Satisfaction Rating]],0)</f>
        <v>5</v>
      </c>
    </row>
    <row r="60" spans="2:12">
      <c r="B60" t="s">
        <v>82</v>
      </c>
      <c r="C60" t="s">
        <v>5</v>
      </c>
      <c r="D60">
        <v>58</v>
      </c>
      <c r="E60" s="17" t="s">
        <v>9</v>
      </c>
      <c r="F60" s="18">
        <v>44949</v>
      </c>
      <c r="G60">
        <v>135</v>
      </c>
      <c r="H60">
        <v>3.3</v>
      </c>
      <c r="I60">
        <f>IF(MONTH(calls[[#This Row],[Date of Call]])&lt;=6, YEAR(calls[[#This Row],[Date of Call]]), YEAR(calls[[#This Row],[Date of Call]])+1)</f>
        <v>2023</v>
      </c>
      <c r="J60" t="str">
        <f>TEXT(calls[[#This Row],[Date of Call]],"DDDD")</f>
        <v>Monday</v>
      </c>
      <c r="K60" t="str" cm="1">
        <f t="array" ref="K6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">
        <f>ROUND(calls[[#This Row],[Satisfaction Rating]],0)</f>
        <v>3</v>
      </c>
    </row>
    <row r="61" spans="2:12">
      <c r="B61" t="s">
        <v>83</v>
      </c>
      <c r="C61" t="s">
        <v>19</v>
      </c>
      <c r="D61">
        <v>118</v>
      </c>
      <c r="E61" s="17" t="s">
        <v>9</v>
      </c>
      <c r="F61" s="18">
        <v>44949</v>
      </c>
      <c r="G61">
        <v>126</v>
      </c>
      <c r="H61">
        <v>2.2999999999999998</v>
      </c>
      <c r="I61">
        <f>IF(MONTH(calls[[#This Row],[Date of Call]])&lt;=6, YEAR(calls[[#This Row],[Date of Call]]), YEAR(calls[[#This Row],[Date of Call]])+1)</f>
        <v>2023</v>
      </c>
      <c r="J61" t="str">
        <f>TEXT(calls[[#This Row],[Date of Call]],"DDDD")</f>
        <v>Monday</v>
      </c>
      <c r="K61" t="str" cm="1">
        <f t="array" ref="K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">
        <f>ROUND(calls[[#This Row],[Satisfaction Rating]],0)</f>
        <v>2</v>
      </c>
    </row>
    <row r="62" spans="2:12">
      <c r="B62" t="s">
        <v>84</v>
      </c>
      <c r="C62" t="s">
        <v>8</v>
      </c>
      <c r="D62">
        <v>63</v>
      </c>
      <c r="E62" s="17" t="s">
        <v>10</v>
      </c>
      <c r="F62" s="18">
        <v>44949</v>
      </c>
      <c r="G62">
        <v>160</v>
      </c>
      <c r="H62">
        <v>4.3</v>
      </c>
      <c r="I62">
        <f>IF(MONTH(calls[[#This Row],[Date of Call]])&lt;=6, YEAR(calls[[#This Row],[Date of Call]]), YEAR(calls[[#This Row],[Date of Call]])+1)</f>
        <v>2023</v>
      </c>
      <c r="J62" t="str">
        <f>TEXT(calls[[#This Row],[Date of Call]],"DDDD")</f>
        <v>Monday</v>
      </c>
      <c r="K62" t="str" cm="1">
        <f t="array" ref="K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">
        <f>ROUND(calls[[#This Row],[Satisfaction Rating]],0)</f>
        <v>4</v>
      </c>
    </row>
    <row r="63" spans="2:12">
      <c r="B63" t="s">
        <v>85</v>
      </c>
      <c r="C63" t="s">
        <v>5</v>
      </c>
      <c r="D63">
        <v>95</v>
      </c>
      <c r="E63" s="17" t="s">
        <v>9</v>
      </c>
      <c r="F63" s="18">
        <v>44950</v>
      </c>
      <c r="G63">
        <v>48</v>
      </c>
      <c r="H63">
        <v>4.5999999999999996</v>
      </c>
      <c r="I63">
        <f>IF(MONTH(calls[[#This Row],[Date of Call]])&lt;=6, YEAR(calls[[#This Row],[Date of Call]]), YEAR(calls[[#This Row],[Date of Call]])+1)</f>
        <v>2023</v>
      </c>
      <c r="J63" t="str">
        <f>TEXT(calls[[#This Row],[Date of Call]],"DDDD")</f>
        <v>Tuesday</v>
      </c>
      <c r="K63" t="str" cm="1">
        <f t="array" ref="K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3">
        <f>ROUND(calls[[#This Row],[Satisfaction Rating]],0)</f>
        <v>5</v>
      </c>
    </row>
    <row r="64" spans="2:12">
      <c r="B64" t="s">
        <v>86</v>
      </c>
      <c r="C64" t="s">
        <v>14</v>
      </c>
      <c r="D64">
        <v>74</v>
      </c>
      <c r="E64" s="17" t="s">
        <v>11</v>
      </c>
      <c r="F64" s="18">
        <v>44950</v>
      </c>
      <c r="G64">
        <v>66</v>
      </c>
      <c r="H64">
        <v>4</v>
      </c>
      <c r="I64">
        <f>IF(MONTH(calls[[#This Row],[Date of Call]])&lt;=6, YEAR(calls[[#This Row],[Date of Call]]), YEAR(calls[[#This Row],[Date of Call]])+1)</f>
        <v>2023</v>
      </c>
      <c r="J64" t="str">
        <f>TEXT(calls[[#This Row],[Date of Call]],"DDDD")</f>
        <v>Tuesday</v>
      </c>
      <c r="K64" t="str" cm="1">
        <f t="array" ref="K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">
        <f>ROUND(calls[[#This Row],[Satisfaction Rating]],0)</f>
        <v>4</v>
      </c>
    </row>
    <row r="65" spans="2:12">
      <c r="B65" t="s">
        <v>87</v>
      </c>
      <c r="C65" t="s">
        <v>18</v>
      </c>
      <c r="D65">
        <v>130</v>
      </c>
      <c r="E65" s="17" t="s">
        <v>13</v>
      </c>
      <c r="F65" s="18">
        <v>44950</v>
      </c>
      <c r="G65">
        <v>126</v>
      </c>
      <c r="H65">
        <v>2.5</v>
      </c>
      <c r="I65">
        <f>IF(MONTH(calls[[#This Row],[Date of Call]])&lt;=6, YEAR(calls[[#This Row],[Date of Call]]), YEAR(calls[[#This Row],[Date of Call]])+1)</f>
        <v>2023</v>
      </c>
      <c r="J65" t="str">
        <f>TEXT(calls[[#This Row],[Date of Call]],"DDDD")</f>
        <v>Tuesday</v>
      </c>
      <c r="K65" t="str" cm="1">
        <f t="array" ref="K6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">
        <f>ROUND(calls[[#This Row],[Satisfaction Rating]],0)</f>
        <v>3</v>
      </c>
    </row>
    <row r="66" spans="2:12">
      <c r="B66" t="s">
        <v>88</v>
      </c>
      <c r="C66" t="s">
        <v>19</v>
      </c>
      <c r="D66">
        <v>110</v>
      </c>
      <c r="E66" s="17" t="s">
        <v>6</v>
      </c>
      <c r="F66" s="18">
        <v>44950</v>
      </c>
      <c r="G66">
        <v>96</v>
      </c>
      <c r="H66">
        <v>5</v>
      </c>
      <c r="I66">
        <f>IF(MONTH(calls[[#This Row],[Date of Call]])&lt;=6, YEAR(calls[[#This Row],[Date of Call]]), YEAR(calls[[#This Row],[Date of Call]])+1)</f>
        <v>2023</v>
      </c>
      <c r="J66" t="str">
        <f>TEXT(calls[[#This Row],[Date of Call]],"DDDD")</f>
        <v>Tuesday</v>
      </c>
      <c r="K66" t="str" cm="1">
        <f t="array" ref="K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">
        <f>ROUND(calls[[#This Row],[Satisfaction Rating]],0)</f>
        <v>5</v>
      </c>
    </row>
    <row r="67" spans="2:12">
      <c r="B67" t="s">
        <v>89</v>
      </c>
      <c r="C67" t="s">
        <v>14</v>
      </c>
      <c r="D67">
        <v>71</v>
      </c>
      <c r="E67" s="17" t="s">
        <v>10</v>
      </c>
      <c r="F67" s="18">
        <v>44951</v>
      </c>
      <c r="G67">
        <v>90</v>
      </c>
      <c r="H67">
        <v>3.8</v>
      </c>
      <c r="I67">
        <f>IF(MONTH(calls[[#This Row],[Date of Call]])&lt;=6, YEAR(calls[[#This Row],[Date of Call]]), YEAR(calls[[#This Row],[Date of Call]])+1)</f>
        <v>2023</v>
      </c>
      <c r="J67" t="str">
        <f>TEXT(calls[[#This Row],[Date of Call]],"DDDD")</f>
        <v>Wednesday</v>
      </c>
      <c r="K67" t="str" cm="1">
        <f t="array" ref="K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">
        <f>ROUND(calls[[#This Row],[Satisfaction Rating]],0)</f>
        <v>4</v>
      </c>
    </row>
    <row r="68" spans="2:12">
      <c r="B68" t="s">
        <v>90</v>
      </c>
      <c r="C68" t="s">
        <v>17</v>
      </c>
      <c r="D68">
        <v>147</v>
      </c>
      <c r="E68" s="17" t="s">
        <v>13</v>
      </c>
      <c r="F68" s="18">
        <v>44951</v>
      </c>
      <c r="G68">
        <v>105</v>
      </c>
      <c r="H68">
        <v>4.4000000000000004</v>
      </c>
      <c r="I68">
        <f>IF(MONTH(calls[[#This Row],[Date of Call]])&lt;=6, YEAR(calls[[#This Row],[Date of Call]]), YEAR(calls[[#This Row],[Date of Call]])+1)</f>
        <v>2023</v>
      </c>
      <c r="J68" t="str">
        <f>TEXT(calls[[#This Row],[Date of Call]],"DDDD")</f>
        <v>Wednesday</v>
      </c>
      <c r="K68" t="str" cm="1">
        <f t="array" ref="K6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8">
        <f>ROUND(calls[[#This Row],[Satisfaction Rating]],0)</f>
        <v>4</v>
      </c>
    </row>
    <row r="69" spans="2:12">
      <c r="B69" t="s">
        <v>91</v>
      </c>
      <c r="C69" t="s">
        <v>12</v>
      </c>
      <c r="D69">
        <v>69</v>
      </c>
      <c r="E69" s="17" t="s">
        <v>9</v>
      </c>
      <c r="F69" s="18">
        <v>44952</v>
      </c>
      <c r="G69">
        <v>40</v>
      </c>
      <c r="H69">
        <v>3.8</v>
      </c>
      <c r="I69">
        <f>IF(MONTH(calls[[#This Row],[Date of Call]])&lt;=6, YEAR(calls[[#This Row],[Date of Call]]), YEAR(calls[[#This Row],[Date of Call]])+1)</f>
        <v>2023</v>
      </c>
      <c r="J69" t="str">
        <f>TEXT(calls[[#This Row],[Date of Call]],"DDDD")</f>
        <v>Thursday</v>
      </c>
      <c r="K69" t="str" cm="1">
        <f t="array" ref="K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">
        <f>ROUND(calls[[#This Row],[Satisfaction Rating]],0)</f>
        <v>4</v>
      </c>
    </row>
    <row r="70" spans="2:12">
      <c r="B70" t="s">
        <v>92</v>
      </c>
      <c r="C70" t="s">
        <v>19</v>
      </c>
      <c r="D70">
        <v>50</v>
      </c>
      <c r="E70" s="17" t="s">
        <v>10</v>
      </c>
      <c r="F70" s="18">
        <v>44952</v>
      </c>
      <c r="G70">
        <v>60</v>
      </c>
      <c r="H70">
        <v>2</v>
      </c>
      <c r="I70">
        <f>IF(MONTH(calls[[#This Row],[Date of Call]])&lt;=6, YEAR(calls[[#This Row],[Date of Call]]), YEAR(calls[[#This Row],[Date of Call]])+1)</f>
        <v>2023</v>
      </c>
      <c r="J70" t="str">
        <f>TEXT(calls[[#This Row],[Date of Call]],"DDDD")</f>
        <v>Thursday</v>
      </c>
      <c r="K70" t="str" cm="1">
        <f t="array" ref="K7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0">
        <f>ROUND(calls[[#This Row],[Satisfaction Rating]],0)</f>
        <v>2</v>
      </c>
    </row>
    <row r="71" spans="2:12">
      <c r="B71" t="s">
        <v>93</v>
      </c>
      <c r="C71" t="s">
        <v>18</v>
      </c>
      <c r="D71">
        <v>124</v>
      </c>
      <c r="E71" s="17" t="s">
        <v>13</v>
      </c>
      <c r="F71" s="18">
        <v>44953</v>
      </c>
      <c r="G71">
        <v>215</v>
      </c>
      <c r="H71">
        <v>4.0999999999999996</v>
      </c>
      <c r="I71">
        <f>IF(MONTH(calls[[#This Row],[Date of Call]])&lt;=6, YEAR(calls[[#This Row],[Date of Call]]), YEAR(calls[[#This Row],[Date of Call]])+1)</f>
        <v>2023</v>
      </c>
      <c r="J71" t="str">
        <f>TEXT(calls[[#This Row],[Date of Call]],"DDDD")</f>
        <v>Friday</v>
      </c>
      <c r="K71" t="str" cm="1">
        <f t="array" ref="K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1">
        <f>ROUND(calls[[#This Row],[Satisfaction Rating]],0)</f>
        <v>4</v>
      </c>
    </row>
    <row r="72" spans="2:12">
      <c r="B72" t="s">
        <v>94</v>
      </c>
      <c r="C72" t="s">
        <v>23</v>
      </c>
      <c r="D72">
        <v>81</v>
      </c>
      <c r="E72" s="17" t="s">
        <v>11</v>
      </c>
      <c r="F72" s="18">
        <v>44953</v>
      </c>
      <c r="G72">
        <v>156</v>
      </c>
      <c r="H72">
        <v>2.6</v>
      </c>
      <c r="I72">
        <f>IF(MONTH(calls[[#This Row],[Date of Call]])&lt;=6, YEAR(calls[[#This Row],[Date of Call]]), YEAR(calls[[#This Row],[Date of Call]])+1)</f>
        <v>2023</v>
      </c>
      <c r="J72" t="str">
        <f>TEXT(calls[[#This Row],[Date of Call]],"DDDD")</f>
        <v>Friday</v>
      </c>
      <c r="K72" t="str" cm="1">
        <f t="array" ref="K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">
        <f>ROUND(calls[[#This Row],[Satisfaction Rating]],0)</f>
        <v>3</v>
      </c>
    </row>
    <row r="73" spans="2:12">
      <c r="B73" t="s">
        <v>95</v>
      </c>
      <c r="C73" t="s">
        <v>7</v>
      </c>
      <c r="D73">
        <v>141</v>
      </c>
      <c r="E73" s="17" t="s">
        <v>6</v>
      </c>
      <c r="F73" s="18">
        <v>44953</v>
      </c>
      <c r="G73">
        <v>54</v>
      </c>
      <c r="H73">
        <v>0</v>
      </c>
      <c r="I73">
        <f>IF(MONTH(calls[[#This Row],[Date of Call]])&lt;=6, YEAR(calls[[#This Row],[Date of Call]]), YEAR(calls[[#This Row],[Date of Call]])+1)</f>
        <v>2023</v>
      </c>
      <c r="J73" t="str">
        <f>TEXT(calls[[#This Row],[Date of Call]],"DDDD")</f>
        <v>Friday</v>
      </c>
      <c r="K73" t="str" cm="1">
        <f t="array" ref="K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3">
        <f>ROUND(calls[[#This Row],[Satisfaction Rating]],0)</f>
        <v>0</v>
      </c>
    </row>
    <row r="74" spans="2:12">
      <c r="B74" t="s">
        <v>96</v>
      </c>
      <c r="C74" t="s">
        <v>7</v>
      </c>
      <c r="D74">
        <v>168</v>
      </c>
      <c r="E74" s="17" t="s">
        <v>6</v>
      </c>
      <c r="F74" s="18">
        <v>44954</v>
      </c>
      <c r="G74">
        <v>160</v>
      </c>
      <c r="H74">
        <v>3.9</v>
      </c>
      <c r="I74">
        <f>IF(MONTH(calls[[#This Row],[Date of Call]])&lt;=6, YEAR(calls[[#This Row],[Date of Call]]), YEAR(calls[[#This Row],[Date of Call]])+1)</f>
        <v>2023</v>
      </c>
      <c r="J74" t="str">
        <f>TEXT(calls[[#This Row],[Date of Call]],"DDDD")</f>
        <v>Saturday</v>
      </c>
      <c r="K74" t="str" cm="1">
        <f t="array" ref="K7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4">
        <f>ROUND(calls[[#This Row],[Satisfaction Rating]],0)</f>
        <v>4</v>
      </c>
    </row>
    <row r="75" spans="2:12">
      <c r="B75" t="s">
        <v>97</v>
      </c>
      <c r="C75" t="s">
        <v>17</v>
      </c>
      <c r="D75">
        <v>101</v>
      </c>
      <c r="E75" s="17" t="s">
        <v>11</v>
      </c>
      <c r="F75" s="18">
        <v>44954</v>
      </c>
      <c r="G75">
        <v>80</v>
      </c>
      <c r="H75">
        <v>4.8</v>
      </c>
      <c r="I75">
        <f>IF(MONTH(calls[[#This Row],[Date of Call]])&lt;=6, YEAR(calls[[#This Row],[Date of Call]]), YEAR(calls[[#This Row],[Date of Call]])+1)</f>
        <v>2023</v>
      </c>
      <c r="J75" t="str">
        <f>TEXT(calls[[#This Row],[Date of Call]],"DDDD")</f>
        <v>Saturday</v>
      </c>
      <c r="K75" t="str" cm="1">
        <f t="array" ref="K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">
        <f>ROUND(calls[[#This Row],[Satisfaction Rating]],0)</f>
        <v>5</v>
      </c>
    </row>
    <row r="76" spans="2:12">
      <c r="B76" t="s">
        <v>98</v>
      </c>
      <c r="C76" t="s">
        <v>14</v>
      </c>
      <c r="D76">
        <v>67</v>
      </c>
      <c r="E76" s="17" t="s">
        <v>11</v>
      </c>
      <c r="F76" s="18">
        <v>44954</v>
      </c>
      <c r="G76">
        <v>168</v>
      </c>
      <c r="H76">
        <v>2.6</v>
      </c>
      <c r="I76">
        <f>IF(MONTH(calls[[#This Row],[Date of Call]])&lt;=6, YEAR(calls[[#This Row],[Date of Call]]), YEAR(calls[[#This Row],[Date of Call]])+1)</f>
        <v>2023</v>
      </c>
      <c r="J76" t="str">
        <f>TEXT(calls[[#This Row],[Date of Call]],"DDDD")</f>
        <v>Saturday</v>
      </c>
      <c r="K76" t="str" cm="1">
        <f t="array" ref="K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">
        <f>ROUND(calls[[#This Row],[Satisfaction Rating]],0)</f>
        <v>3</v>
      </c>
    </row>
    <row r="77" spans="2:12">
      <c r="B77" t="s">
        <v>99</v>
      </c>
      <c r="C77" t="s">
        <v>5</v>
      </c>
      <c r="D77">
        <v>114</v>
      </c>
      <c r="E77" s="17" t="s">
        <v>6</v>
      </c>
      <c r="F77" s="18">
        <v>44956</v>
      </c>
      <c r="G77">
        <v>42</v>
      </c>
      <c r="H77">
        <v>2.6</v>
      </c>
      <c r="I77">
        <f>IF(MONTH(calls[[#This Row],[Date of Call]])&lt;=6, YEAR(calls[[#This Row],[Date of Call]]), YEAR(calls[[#This Row],[Date of Call]])+1)</f>
        <v>2023</v>
      </c>
      <c r="J77" t="str">
        <f>TEXT(calls[[#This Row],[Date of Call]],"DDDD")</f>
        <v>Monday</v>
      </c>
      <c r="K77" t="str" cm="1">
        <f t="array" ref="K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">
        <f>ROUND(calls[[#This Row],[Satisfaction Rating]],0)</f>
        <v>3</v>
      </c>
    </row>
    <row r="78" spans="2:12">
      <c r="B78" t="s">
        <v>100</v>
      </c>
      <c r="C78" t="s">
        <v>23</v>
      </c>
      <c r="D78">
        <v>42</v>
      </c>
      <c r="E78" s="17" t="s">
        <v>11</v>
      </c>
      <c r="F78" s="18">
        <v>44956</v>
      </c>
      <c r="G78">
        <v>205</v>
      </c>
      <c r="H78">
        <v>3.6</v>
      </c>
      <c r="I78">
        <f>IF(MONTH(calls[[#This Row],[Date of Call]])&lt;=6, YEAR(calls[[#This Row],[Date of Call]]), YEAR(calls[[#This Row],[Date of Call]])+1)</f>
        <v>2023</v>
      </c>
      <c r="J78" t="str">
        <f>TEXT(calls[[#This Row],[Date of Call]],"DDDD")</f>
        <v>Monday</v>
      </c>
      <c r="K78" t="str" cm="1">
        <f t="array" ref="K7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8">
        <f>ROUND(calls[[#This Row],[Satisfaction Rating]],0)</f>
        <v>4</v>
      </c>
    </row>
    <row r="79" spans="2:12">
      <c r="B79" t="s">
        <v>101</v>
      </c>
      <c r="C79" t="s">
        <v>8</v>
      </c>
      <c r="D79">
        <v>69</v>
      </c>
      <c r="E79" s="17" t="s">
        <v>6</v>
      </c>
      <c r="F79" s="18">
        <v>44956</v>
      </c>
      <c r="G79">
        <v>108</v>
      </c>
      <c r="H79">
        <v>3.3</v>
      </c>
      <c r="I79">
        <f>IF(MONTH(calls[[#This Row],[Date of Call]])&lt;=6, YEAR(calls[[#This Row],[Date of Call]]), YEAR(calls[[#This Row],[Date of Call]])+1)</f>
        <v>2023</v>
      </c>
      <c r="J79" t="str">
        <f>TEXT(calls[[#This Row],[Date of Call]],"DDDD")</f>
        <v>Monday</v>
      </c>
      <c r="K79" t="str" cm="1">
        <f t="array" ref="K7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">
        <f>ROUND(calls[[#This Row],[Satisfaction Rating]],0)</f>
        <v>3</v>
      </c>
    </row>
    <row r="80" spans="2:12">
      <c r="B80" t="s">
        <v>102</v>
      </c>
      <c r="C80" t="s">
        <v>18</v>
      </c>
      <c r="D80">
        <v>145</v>
      </c>
      <c r="E80" s="17" t="s">
        <v>9</v>
      </c>
      <c r="F80" s="18">
        <v>44956</v>
      </c>
      <c r="G80">
        <v>78</v>
      </c>
      <c r="H80">
        <v>1.9</v>
      </c>
      <c r="I80">
        <f>IF(MONTH(calls[[#This Row],[Date of Call]])&lt;=6, YEAR(calls[[#This Row],[Date of Call]]), YEAR(calls[[#This Row],[Date of Call]])+1)</f>
        <v>2023</v>
      </c>
      <c r="J80" t="str">
        <f>TEXT(calls[[#This Row],[Date of Call]],"DDDD")</f>
        <v>Monday</v>
      </c>
      <c r="K80" t="str" cm="1">
        <f t="array" ref="K8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0">
        <f>ROUND(calls[[#This Row],[Satisfaction Rating]],0)</f>
        <v>2</v>
      </c>
    </row>
    <row r="81" spans="2:12">
      <c r="B81" t="s">
        <v>103</v>
      </c>
      <c r="C81" t="s">
        <v>12</v>
      </c>
      <c r="D81">
        <v>43</v>
      </c>
      <c r="E81" s="17" t="s">
        <v>6</v>
      </c>
      <c r="F81" s="18">
        <v>44956</v>
      </c>
      <c r="G81">
        <v>23</v>
      </c>
      <c r="H81">
        <v>4.9000000000000004</v>
      </c>
      <c r="I81">
        <f>IF(MONTH(calls[[#This Row],[Date of Call]])&lt;=6, YEAR(calls[[#This Row],[Date of Call]]), YEAR(calls[[#This Row],[Date of Call]])+1)</f>
        <v>2023</v>
      </c>
      <c r="J81" t="str">
        <f>TEXT(calls[[#This Row],[Date of Call]],"DDDD")</f>
        <v>Monday</v>
      </c>
      <c r="K81" t="str" cm="1">
        <f t="array" ref="K8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1">
        <f>ROUND(calls[[#This Row],[Satisfaction Rating]],0)</f>
        <v>5</v>
      </c>
    </row>
    <row r="82" spans="2:12">
      <c r="B82" t="s">
        <v>104</v>
      </c>
      <c r="C82" t="s">
        <v>8</v>
      </c>
      <c r="D82">
        <v>62</v>
      </c>
      <c r="E82" s="17" t="s">
        <v>10</v>
      </c>
      <c r="F82" s="18">
        <v>44957</v>
      </c>
      <c r="G82">
        <v>99</v>
      </c>
      <c r="H82">
        <v>3.6</v>
      </c>
      <c r="I82">
        <f>IF(MONTH(calls[[#This Row],[Date of Call]])&lt;=6, YEAR(calls[[#This Row],[Date of Call]]), YEAR(calls[[#This Row],[Date of Call]])+1)</f>
        <v>2023</v>
      </c>
      <c r="J82" t="str">
        <f>TEXT(calls[[#This Row],[Date of Call]],"DDDD")</f>
        <v>Tuesday</v>
      </c>
      <c r="K82" t="str" cm="1">
        <f t="array" ref="K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">
        <f>ROUND(calls[[#This Row],[Satisfaction Rating]],0)</f>
        <v>4</v>
      </c>
    </row>
    <row r="83" spans="2:12">
      <c r="B83" t="s">
        <v>105</v>
      </c>
      <c r="C83" t="s">
        <v>22</v>
      </c>
      <c r="D83">
        <v>79</v>
      </c>
      <c r="E83" s="17" t="s">
        <v>6</v>
      </c>
      <c r="F83" s="18">
        <v>44958</v>
      </c>
      <c r="G83">
        <v>148</v>
      </c>
      <c r="H83">
        <v>4.5</v>
      </c>
      <c r="I83">
        <f>IF(MONTH(calls[[#This Row],[Date of Call]])&lt;=6, YEAR(calls[[#This Row],[Date of Call]]), YEAR(calls[[#This Row],[Date of Call]])+1)</f>
        <v>2023</v>
      </c>
      <c r="J83" t="str">
        <f>TEXT(calls[[#This Row],[Date of Call]],"DDDD")</f>
        <v>Wednesday</v>
      </c>
      <c r="K83" t="str" cm="1">
        <f t="array" ref="K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">
        <f>ROUND(calls[[#This Row],[Satisfaction Rating]],0)</f>
        <v>5</v>
      </c>
    </row>
    <row r="84" spans="2:12">
      <c r="B84" t="s">
        <v>106</v>
      </c>
      <c r="C84" t="s">
        <v>18</v>
      </c>
      <c r="D84">
        <v>45</v>
      </c>
      <c r="E84" s="17" t="s">
        <v>13</v>
      </c>
      <c r="F84" s="18">
        <v>44958</v>
      </c>
      <c r="G84">
        <v>34</v>
      </c>
      <c r="H84">
        <v>3.7</v>
      </c>
      <c r="I84">
        <f>IF(MONTH(calls[[#This Row],[Date of Call]])&lt;=6, YEAR(calls[[#This Row],[Date of Call]]), YEAR(calls[[#This Row],[Date of Call]])+1)</f>
        <v>2023</v>
      </c>
      <c r="J84" t="str">
        <f>TEXT(calls[[#This Row],[Date of Call]],"DDDD")</f>
        <v>Wednesday</v>
      </c>
      <c r="K84" t="str" cm="1">
        <f t="array" ref="K8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4">
        <f>ROUND(calls[[#This Row],[Satisfaction Rating]],0)</f>
        <v>4</v>
      </c>
    </row>
    <row r="85" spans="2:12">
      <c r="B85" t="s">
        <v>107</v>
      </c>
      <c r="C85" t="s">
        <v>8</v>
      </c>
      <c r="D85">
        <v>137</v>
      </c>
      <c r="E85" s="17" t="s">
        <v>6</v>
      </c>
      <c r="F85" s="18">
        <v>44958</v>
      </c>
      <c r="G85">
        <v>86</v>
      </c>
      <c r="H85">
        <v>4.8</v>
      </c>
      <c r="I85">
        <f>IF(MONTH(calls[[#This Row],[Date of Call]])&lt;=6, YEAR(calls[[#This Row],[Date of Call]]), YEAR(calls[[#This Row],[Date of Call]])+1)</f>
        <v>2023</v>
      </c>
      <c r="J85" t="str">
        <f>TEXT(calls[[#This Row],[Date of Call]],"DDDD")</f>
        <v>Wednesday</v>
      </c>
      <c r="K85" t="str" cm="1">
        <f t="array" ref="K8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">
        <f>ROUND(calls[[#This Row],[Satisfaction Rating]],0)</f>
        <v>5</v>
      </c>
    </row>
    <row r="86" spans="2:12">
      <c r="B86" t="s">
        <v>108</v>
      </c>
      <c r="C86" t="s">
        <v>5</v>
      </c>
      <c r="D86">
        <v>109</v>
      </c>
      <c r="E86" s="17" t="s">
        <v>10</v>
      </c>
      <c r="F86" s="18">
        <v>44958</v>
      </c>
      <c r="G86">
        <v>105</v>
      </c>
      <c r="H86">
        <v>3.3</v>
      </c>
      <c r="I86">
        <f>IF(MONTH(calls[[#This Row],[Date of Call]])&lt;=6, YEAR(calls[[#This Row],[Date of Call]]), YEAR(calls[[#This Row],[Date of Call]])+1)</f>
        <v>2023</v>
      </c>
      <c r="J86" t="str">
        <f>TEXT(calls[[#This Row],[Date of Call]],"DDDD")</f>
        <v>Wednesday</v>
      </c>
      <c r="K86" t="str" cm="1">
        <f t="array" ref="K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">
        <f>ROUND(calls[[#This Row],[Satisfaction Rating]],0)</f>
        <v>3</v>
      </c>
    </row>
    <row r="87" spans="2:12">
      <c r="B87" t="s">
        <v>109</v>
      </c>
      <c r="C87" t="s">
        <v>12</v>
      </c>
      <c r="D87">
        <v>78</v>
      </c>
      <c r="E87" s="17" t="s">
        <v>10</v>
      </c>
      <c r="F87" s="18">
        <v>44958</v>
      </c>
      <c r="G87">
        <v>62</v>
      </c>
      <c r="H87">
        <v>3.1</v>
      </c>
      <c r="I87">
        <f>IF(MONTH(calls[[#This Row],[Date of Call]])&lt;=6, YEAR(calls[[#This Row],[Date of Call]]), YEAR(calls[[#This Row],[Date of Call]])+1)</f>
        <v>2023</v>
      </c>
      <c r="J87" t="str">
        <f>TEXT(calls[[#This Row],[Date of Call]],"DDDD")</f>
        <v>Wednesday</v>
      </c>
      <c r="K87" t="str" cm="1">
        <f t="array" ref="K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">
        <f>ROUND(calls[[#This Row],[Satisfaction Rating]],0)</f>
        <v>3</v>
      </c>
    </row>
    <row r="88" spans="2:12">
      <c r="B88" t="s">
        <v>110</v>
      </c>
      <c r="C88" t="s">
        <v>8</v>
      </c>
      <c r="D88">
        <v>137</v>
      </c>
      <c r="E88" s="17" t="s">
        <v>13</v>
      </c>
      <c r="F88" s="18">
        <v>44958</v>
      </c>
      <c r="G88">
        <v>90</v>
      </c>
      <c r="H88">
        <v>4.0999999999999996</v>
      </c>
      <c r="I88">
        <f>IF(MONTH(calls[[#This Row],[Date of Call]])&lt;=6, YEAR(calls[[#This Row],[Date of Call]]), YEAR(calls[[#This Row],[Date of Call]])+1)</f>
        <v>2023</v>
      </c>
      <c r="J88" t="str">
        <f>TEXT(calls[[#This Row],[Date of Call]],"DDDD")</f>
        <v>Wednesday</v>
      </c>
      <c r="K88" t="str" cm="1">
        <f t="array" ref="K8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8">
        <f>ROUND(calls[[#This Row],[Satisfaction Rating]],0)</f>
        <v>4</v>
      </c>
    </row>
    <row r="89" spans="2:12">
      <c r="B89" t="s">
        <v>111</v>
      </c>
      <c r="C89" t="s">
        <v>21</v>
      </c>
      <c r="D89">
        <v>99</v>
      </c>
      <c r="E89" s="17" t="s">
        <v>10</v>
      </c>
      <c r="F89" s="18">
        <v>44959</v>
      </c>
      <c r="G89">
        <v>112</v>
      </c>
      <c r="H89">
        <v>4.9000000000000004</v>
      </c>
      <c r="I89">
        <f>IF(MONTH(calls[[#This Row],[Date of Call]])&lt;=6, YEAR(calls[[#This Row],[Date of Call]]), YEAR(calls[[#This Row],[Date of Call]])+1)</f>
        <v>2023</v>
      </c>
      <c r="J89" t="str">
        <f>TEXT(calls[[#This Row],[Date of Call]],"DDDD")</f>
        <v>Thursday</v>
      </c>
      <c r="K89" t="str" cm="1">
        <f t="array" ref="K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">
        <f>ROUND(calls[[#This Row],[Satisfaction Rating]],0)</f>
        <v>5</v>
      </c>
    </row>
    <row r="90" spans="2:12">
      <c r="B90" t="s">
        <v>112</v>
      </c>
      <c r="C90" t="s">
        <v>19</v>
      </c>
      <c r="D90">
        <v>100</v>
      </c>
      <c r="E90" s="17" t="s">
        <v>10</v>
      </c>
      <c r="F90" s="18">
        <v>44959</v>
      </c>
      <c r="G90">
        <v>135</v>
      </c>
      <c r="H90">
        <v>4</v>
      </c>
      <c r="I90">
        <f>IF(MONTH(calls[[#This Row],[Date of Call]])&lt;=6, YEAR(calls[[#This Row],[Date of Call]]), YEAR(calls[[#This Row],[Date of Call]])+1)</f>
        <v>2023</v>
      </c>
      <c r="J90" t="str">
        <f>TEXT(calls[[#This Row],[Date of Call]],"DDDD")</f>
        <v>Thursday</v>
      </c>
      <c r="K90" t="str" cm="1">
        <f t="array" ref="K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">
        <f>ROUND(calls[[#This Row],[Satisfaction Rating]],0)</f>
        <v>4</v>
      </c>
    </row>
    <row r="91" spans="2:12">
      <c r="B91" t="s">
        <v>113</v>
      </c>
      <c r="C91" t="s">
        <v>12</v>
      </c>
      <c r="D91">
        <v>47</v>
      </c>
      <c r="E91" s="17" t="s">
        <v>9</v>
      </c>
      <c r="F91" s="18">
        <v>44959</v>
      </c>
      <c r="G91">
        <v>34</v>
      </c>
      <c r="H91">
        <v>2.1</v>
      </c>
      <c r="I91">
        <f>IF(MONTH(calls[[#This Row],[Date of Call]])&lt;=6, YEAR(calls[[#This Row],[Date of Call]]), YEAR(calls[[#This Row],[Date of Call]])+1)</f>
        <v>2023</v>
      </c>
      <c r="J91" t="str">
        <f>TEXT(calls[[#This Row],[Date of Call]],"DDDD")</f>
        <v>Thursday</v>
      </c>
      <c r="K91" t="str" cm="1">
        <f t="array" ref="K9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1">
        <f>ROUND(calls[[#This Row],[Satisfaction Rating]],0)</f>
        <v>2</v>
      </c>
    </row>
    <row r="92" spans="2:12">
      <c r="B92" t="s">
        <v>114</v>
      </c>
      <c r="C92" t="s">
        <v>5</v>
      </c>
      <c r="D92">
        <v>87</v>
      </c>
      <c r="E92" s="17" t="s">
        <v>11</v>
      </c>
      <c r="F92" s="18">
        <v>44959</v>
      </c>
      <c r="G92">
        <v>155</v>
      </c>
      <c r="H92">
        <v>4.5</v>
      </c>
      <c r="I92">
        <f>IF(MONTH(calls[[#This Row],[Date of Call]])&lt;=6, YEAR(calls[[#This Row],[Date of Call]]), YEAR(calls[[#This Row],[Date of Call]])+1)</f>
        <v>2023</v>
      </c>
      <c r="J92" t="str">
        <f>TEXT(calls[[#This Row],[Date of Call]],"DDDD")</f>
        <v>Thursday</v>
      </c>
      <c r="K92" t="str" cm="1">
        <f t="array" ref="K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">
        <f>ROUND(calls[[#This Row],[Satisfaction Rating]],0)</f>
        <v>5</v>
      </c>
    </row>
    <row r="93" spans="2:12">
      <c r="B93" t="s">
        <v>115</v>
      </c>
      <c r="C93" t="s">
        <v>21</v>
      </c>
      <c r="D93">
        <v>143</v>
      </c>
      <c r="E93" s="17" t="s">
        <v>11</v>
      </c>
      <c r="F93" s="18">
        <v>44961</v>
      </c>
      <c r="G93">
        <v>124</v>
      </c>
      <c r="H93">
        <v>4.9000000000000004</v>
      </c>
      <c r="I93">
        <f>IF(MONTH(calls[[#This Row],[Date of Call]])&lt;=6, YEAR(calls[[#This Row],[Date of Call]]), YEAR(calls[[#This Row],[Date of Call]])+1)</f>
        <v>2023</v>
      </c>
      <c r="J93" t="str">
        <f>TEXT(calls[[#This Row],[Date of Call]],"DDDD")</f>
        <v>Saturday</v>
      </c>
      <c r="K93" t="str" cm="1">
        <f t="array" ref="K9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3">
        <f>ROUND(calls[[#This Row],[Satisfaction Rating]],0)</f>
        <v>5</v>
      </c>
    </row>
    <row r="94" spans="2:12">
      <c r="B94" t="s">
        <v>116</v>
      </c>
      <c r="C94" t="s">
        <v>19</v>
      </c>
      <c r="D94">
        <v>84</v>
      </c>
      <c r="E94" s="17" t="s">
        <v>10</v>
      </c>
      <c r="F94" s="18">
        <v>44961</v>
      </c>
      <c r="G94">
        <v>195</v>
      </c>
      <c r="H94">
        <v>4.0999999999999996</v>
      </c>
      <c r="I94">
        <f>IF(MONTH(calls[[#This Row],[Date of Call]])&lt;=6, YEAR(calls[[#This Row],[Date of Call]]), YEAR(calls[[#This Row],[Date of Call]])+1)</f>
        <v>2023</v>
      </c>
      <c r="J94" t="str">
        <f>TEXT(calls[[#This Row],[Date of Call]],"DDDD")</f>
        <v>Saturday</v>
      </c>
      <c r="K94" t="str" cm="1">
        <f t="array" ref="K9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">
        <f>ROUND(calls[[#This Row],[Satisfaction Rating]],0)</f>
        <v>4</v>
      </c>
    </row>
    <row r="95" spans="2:12">
      <c r="B95" t="s">
        <v>117</v>
      </c>
      <c r="C95" t="s">
        <v>17</v>
      </c>
      <c r="D95">
        <v>55</v>
      </c>
      <c r="E95" s="17" t="s">
        <v>11</v>
      </c>
      <c r="F95" s="18">
        <v>44962</v>
      </c>
      <c r="G95">
        <v>78</v>
      </c>
      <c r="H95">
        <v>4.5</v>
      </c>
      <c r="I95">
        <f>IF(MONTH(calls[[#This Row],[Date of Call]])&lt;=6, YEAR(calls[[#This Row],[Date of Call]]), YEAR(calls[[#This Row],[Date of Call]])+1)</f>
        <v>2023</v>
      </c>
      <c r="J95" t="str">
        <f>TEXT(calls[[#This Row],[Date of Call]],"DDDD")</f>
        <v>Sunday</v>
      </c>
      <c r="K95" t="str" cm="1">
        <f t="array" ref="K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5">
        <f>ROUND(calls[[#This Row],[Satisfaction Rating]],0)</f>
        <v>5</v>
      </c>
    </row>
    <row r="96" spans="2:12">
      <c r="B96" t="s">
        <v>118</v>
      </c>
      <c r="C96" t="s">
        <v>15</v>
      </c>
      <c r="D96">
        <v>135</v>
      </c>
      <c r="E96" s="17" t="s">
        <v>13</v>
      </c>
      <c r="F96" s="18">
        <v>44964</v>
      </c>
      <c r="G96">
        <v>35</v>
      </c>
      <c r="H96">
        <v>4.8</v>
      </c>
      <c r="I96">
        <f>IF(MONTH(calls[[#This Row],[Date of Call]])&lt;=6, YEAR(calls[[#This Row],[Date of Call]]), YEAR(calls[[#This Row],[Date of Call]])+1)</f>
        <v>2023</v>
      </c>
      <c r="J96" t="str">
        <f>TEXT(calls[[#This Row],[Date of Call]],"DDDD")</f>
        <v>Tuesday</v>
      </c>
      <c r="K96" t="str" cm="1">
        <f t="array" ref="K9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6">
        <f>ROUND(calls[[#This Row],[Satisfaction Rating]],0)</f>
        <v>5</v>
      </c>
    </row>
    <row r="97" spans="2:12">
      <c r="B97" t="s">
        <v>119</v>
      </c>
      <c r="C97" t="s">
        <v>16</v>
      </c>
      <c r="D97">
        <v>152</v>
      </c>
      <c r="E97" s="17" t="s">
        <v>9</v>
      </c>
      <c r="F97" s="18">
        <v>44964</v>
      </c>
      <c r="G97">
        <v>123</v>
      </c>
      <c r="H97">
        <v>4.5999999999999996</v>
      </c>
      <c r="I97">
        <f>IF(MONTH(calls[[#This Row],[Date of Call]])&lt;=6, YEAR(calls[[#This Row],[Date of Call]]), YEAR(calls[[#This Row],[Date of Call]])+1)</f>
        <v>2023</v>
      </c>
      <c r="J97" t="str">
        <f>TEXT(calls[[#This Row],[Date of Call]],"DDDD")</f>
        <v>Tuesday</v>
      </c>
      <c r="K97" t="str" cm="1">
        <f t="array" ref="K9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">
        <f>ROUND(calls[[#This Row],[Satisfaction Rating]],0)</f>
        <v>5</v>
      </c>
    </row>
    <row r="98" spans="2:12">
      <c r="B98" t="s">
        <v>120</v>
      </c>
      <c r="C98" t="s">
        <v>23</v>
      </c>
      <c r="D98">
        <v>132</v>
      </c>
      <c r="E98" s="17" t="s">
        <v>9</v>
      </c>
      <c r="F98" s="18">
        <v>44964</v>
      </c>
      <c r="G98">
        <v>43</v>
      </c>
      <c r="H98">
        <v>4.5999999999999996</v>
      </c>
      <c r="I98">
        <f>IF(MONTH(calls[[#This Row],[Date of Call]])&lt;=6, YEAR(calls[[#This Row],[Date of Call]]), YEAR(calls[[#This Row],[Date of Call]])+1)</f>
        <v>2023</v>
      </c>
      <c r="J98" t="str">
        <f>TEXT(calls[[#This Row],[Date of Call]],"DDDD")</f>
        <v>Tuesday</v>
      </c>
      <c r="K98" t="str" cm="1">
        <f t="array" ref="K9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8">
        <f>ROUND(calls[[#This Row],[Satisfaction Rating]],0)</f>
        <v>5</v>
      </c>
    </row>
    <row r="99" spans="2:12">
      <c r="B99" t="s">
        <v>121</v>
      </c>
      <c r="C99" t="s">
        <v>7</v>
      </c>
      <c r="D99">
        <v>60</v>
      </c>
      <c r="E99" s="17" t="s">
        <v>10</v>
      </c>
      <c r="F99" s="18">
        <v>44965</v>
      </c>
      <c r="G99">
        <v>69</v>
      </c>
      <c r="H99">
        <v>4.3</v>
      </c>
      <c r="I99">
        <f>IF(MONTH(calls[[#This Row],[Date of Call]])&lt;=6, YEAR(calls[[#This Row],[Date of Call]]), YEAR(calls[[#This Row],[Date of Call]])+1)</f>
        <v>2023</v>
      </c>
      <c r="J99" t="str">
        <f>TEXT(calls[[#This Row],[Date of Call]],"DDDD")</f>
        <v>Wednesday</v>
      </c>
      <c r="K99" t="str" cm="1">
        <f t="array" ref="K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9">
        <f>ROUND(calls[[#This Row],[Satisfaction Rating]],0)</f>
        <v>4</v>
      </c>
    </row>
    <row r="100" spans="2:12">
      <c r="B100" t="s">
        <v>122</v>
      </c>
      <c r="C100" t="s">
        <v>16</v>
      </c>
      <c r="D100">
        <v>95</v>
      </c>
      <c r="E100" s="17" t="s">
        <v>9</v>
      </c>
      <c r="F100" s="18">
        <v>44965</v>
      </c>
      <c r="G100">
        <v>130</v>
      </c>
      <c r="H100">
        <v>5</v>
      </c>
      <c r="I100">
        <f>IF(MONTH(calls[[#This Row],[Date of Call]])&lt;=6, YEAR(calls[[#This Row],[Date of Call]]), YEAR(calls[[#This Row],[Date of Call]])+1)</f>
        <v>2023</v>
      </c>
      <c r="J100" t="str">
        <f>TEXT(calls[[#This Row],[Date of Call]],"DDDD")</f>
        <v>Wednesday</v>
      </c>
      <c r="K100" t="str" cm="1">
        <f t="array" ref="K1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0">
        <f>ROUND(calls[[#This Row],[Satisfaction Rating]],0)</f>
        <v>5</v>
      </c>
    </row>
    <row r="101" spans="2:12">
      <c r="B101" t="s">
        <v>123</v>
      </c>
      <c r="C101" t="s">
        <v>20</v>
      </c>
      <c r="D101">
        <v>96</v>
      </c>
      <c r="E101" s="17" t="s">
        <v>6</v>
      </c>
      <c r="F101" s="18">
        <v>44965</v>
      </c>
      <c r="G101">
        <v>120</v>
      </c>
      <c r="H101">
        <v>4</v>
      </c>
      <c r="I101">
        <f>IF(MONTH(calls[[#This Row],[Date of Call]])&lt;=6, YEAR(calls[[#This Row],[Date of Call]]), YEAR(calls[[#This Row],[Date of Call]])+1)</f>
        <v>2023</v>
      </c>
      <c r="J101" t="str">
        <f>TEXT(calls[[#This Row],[Date of Call]],"DDDD")</f>
        <v>Wednesday</v>
      </c>
      <c r="K101" t="str" cm="1">
        <f t="array" ref="K1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1">
        <f>ROUND(calls[[#This Row],[Satisfaction Rating]],0)</f>
        <v>4</v>
      </c>
    </row>
    <row r="102" spans="2:12">
      <c r="B102" t="s">
        <v>124</v>
      </c>
      <c r="C102" t="s">
        <v>17</v>
      </c>
      <c r="D102">
        <v>45</v>
      </c>
      <c r="E102" s="17" t="s">
        <v>10</v>
      </c>
      <c r="F102" s="18">
        <v>44966</v>
      </c>
      <c r="G102">
        <v>84</v>
      </c>
      <c r="H102">
        <v>4.5999999999999996</v>
      </c>
      <c r="I102">
        <f>IF(MONTH(calls[[#This Row],[Date of Call]])&lt;=6, YEAR(calls[[#This Row],[Date of Call]]), YEAR(calls[[#This Row],[Date of Call]])+1)</f>
        <v>2023</v>
      </c>
      <c r="J102" t="str">
        <f>TEXT(calls[[#This Row],[Date of Call]],"DDDD")</f>
        <v>Thursday</v>
      </c>
      <c r="K102" t="str" cm="1">
        <f t="array" ref="K10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02">
        <f>ROUND(calls[[#This Row],[Satisfaction Rating]],0)</f>
        <v>5</v>
      </c>
    </row>
    <row r="103" spans="2:12">
      <c r="B103" t="s">
        <v>125</v>
      </c>
      <c r="C103" t="s">
        <v>20</v>
      </c>
      <c r="D103">
        <v>132</v>
      </c>
      <c r="E103" s="17" t="s">
        <v>6</v>
      </c>
      <c r="F103" s="18">
        <v>44967</v>
      </c>
      <c r="G103">
        <v>112</v>
      </c>
      <c r="H103">
        <v>4.5</v>
      </c>
      <c r="I103">
        <f>IF(MONTH(calls[[#This Row],[Date of Call]])&lt;=6, YEAR(calls[[#This Row],[Date of Call]]), YEAR(calls[[#This Row],[Date of Call]])+1)</f>
        <v>2023</v>
      </c>
      <c r="J103" t="str">
        <f>TEXT(calls[[#This Row],[Date of Call]],"DDDD")</f>
        <v>Friday</v>
      </c>
      <c r="K103" t="str" cm="1">
        <f t="array" ref="K10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3">
        <f>ROUND(calls[[#This Row],[Satisfaction Rating]],0)</f>
        <v>5</v>
      </c>
    </row>
    <row r="104" spans="2:12">
      <c r="B104" t="s">
        <v>126</v>
      </c>
      <c r="C104" t="s">
        <v>14</v>
      </c>
      <c r="D104">
        <v>95</v>
      </c>
      <c r="E104" s="17" t="s">
        <v>10</v>
      </c>
      <c r="F104" s="18">
        <v>44967</v>
      </c>
      <c r="G104">
        <v>66</v>
      </c>
      <c r="H104">
        <v>4.5999999999999996</v>
      </c>
      <c r="I104">
        <f>IF(MONTH(calls[[#This Row],[Date of Call]])&lt;=6, YEAR(calls[[#This Row],[Date of Call]]), YEAR(calls[[#This Row],[Date of Call]])+1)</f>
        <v>2023</v>
      </c>
      <c r="J104" t="str">
        <f>TEXT(calls[[#This Row],[Date of Call]],"DDDD")</f>
        <v>Friday</v>
      </c>
      <c r="K104" t="str" cm="1">
        <f t="array" ref="K1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4">
        <f>ROUND(calls[[#This Row],[Satisfaction Rating]],0)</f>
        <v>5</v>
      </c>
    </row>
    <row r="105" spans="2:12">
      <c r="B105" t="s">
        <v>127</v>
      </c>
      <c r="C105" t="s">
        <v>16</v>
      </c>
      <c r="D105">
        <v>131</v>
      </c>
      <c r="E105" s="17" t="s">
        <v>11</v>
      </c>
      <c r="F105" s="18">
        <v>44967</v>
      </c>
      <c r="G105">
        <v>172</v>
      </c>
      <c r="H105">
        <v>2.6</v>
      </c>
      <c r="I105">
        <f>IF(MONTH(calls[[#This Row],[Date of Call]])&lt;=6, YEAR(calls[[#This Row],[Date of Call]]), YEAR(calls[[#This Row],[Date of Call]])+1)</f>
        <v>2023</v>
      </c>
      <c r="J105" t="str">
        <f>TEXT(calls[[#This Row],[Date of Call]],"DDDD")</f>
        <v>Friday</v>
      </c>
      <c r="K105" t="str" cm="1">
        <f t="array" ref="K10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5">
        <f>ROUND(calls[[#This Row],[Satisfaction Rating]],0)</f>
        <v>3</v>
      </c>
    </row>
    <row r="106" spans="2:12">
      <c r="B106" t="s">
        <v>128</v>
      </c>
      <c r="C106" t="s">
        <v>22</v>
      </c>
      <c r="D106">
        <v>67</v>
      </c>
      <c r="E106" s="17" t="s">
        <v>13</v>
      </c>
      <c r="F106" s="18">
        <v>44968</v>
      </c>
      <c r="G106">
        <v>24</v>
      </c>
      <c r="H106">
        <v>4.3</v>
      </c>
      <c r="I106">
        <f>IF(MONTH(calls[[#This Row],[Date of Call]])&lt;=6, YEAR(calls[[#This Row],[Date of Call]]), YEAR(calls[[#This Row],[Date of Call]])+1)</f>
        <v>2023</v>
      </c>
      <c r="J106" t="str">
        <f>TEXT(calls[[#This Row],[Date of Call]],"DDDD")</f>
        <v>Saturday</v>
      </c>
      <c r="K106" t="str" cm="1">
        <f t="array" ref="K1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6">
        <f>ROUND(calls[[#This Row],[Satisfaction Rating]],0)</f>
        <v>4</v>
      </c>
    </row>
    <row r="107" spans="2:12">
      <c r="B107" t="s">
        <v>129</v>
      </c>
      <c r="C107" t="s">
        <v>21</v>
      </c>
      <c r="D107">
        <v>111</v>
      </c>
      <c r="E107" s="17" t="s">
        <v>11</v>
      </c>
      <c r="F107" s="18">
        <v>44969</v>
      </c>
      <c r="G107">
        <v>43</v>
      </c>
      <c r="H107">
        <v>3.9</v>
      </c>
      <c r="I107">
        <f>IF(MONTH(calls[[#This Row],[Date of Call]])&lt;=6, YEAR(calls[[#This Row],[Date of Call]]), YEAR(calls[[#This Row],[Date of Call]])+1)</f>
        <v>2023</v>
      </c>
      <c r="J107" t="str">
        <f>TEXT(calls[[#This Row],[Date of Call]],"DDDD")</f>
        <v>Sunday</v>
      </c>
      <c r="K107" t="str" cm="1">
        <f t="array" ref="K1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7">
        <f>ROUND(calls[[#This Row],[Satisfaction Rating]],0)</f>
        <v>4</v>
      </c>
    </row>
    <row r="108" spans="2:12">
      <c r="B108" t="s">
        <v>130</v>
      </c>
      <c r="C108" t="s">
        <v>23</v>
      </c>
      <c r="D108">
        <v>78</v>
      </c>
      <c r="E108" s="17" t="s">
        <v>9</v>
      </c>
      <c r="F108" s="18">
        <v>44969</v>
      </c>
      <c r="G108">
        <v>23</v>
      </c>
      <c r="H108">
        <v>5</v>
      </c>
      <c r="I108">
        <f>IF(MONTH(calls[[#This Row],[Date of Call]])&lt;=6, YEAR(calls[[#This Row],[Date of Call]]), YEAR(calls[[#This Row],[Date of Call]])+1)</f>
        <v>2023</v>
      </c>
      <c r="J108" t="str">
        <f>TEXT(calls[[#This Row],[Date of Call]],"DDDD")</f>
        <v>Sunday</v>
      </c>
      <c r="K108" t="str" cm="1">
        <f t="array" ref="K1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8">
        <f>ROUND(calls[[#This Row],[Satisfaction Rating]],0)</f>
        <v>5</v>
      </c>
    </row>
    <row r="109" spans="2:12">
      <c r="B109" t="s">
        <v>131</v>
      </c>
      <c r="C109" t="s">
        <v>24</v>
      </c>
      <c r="D109">
        <v>28</v>
      </c>
      <c r="E109" s="17" t="s">
        <v>6</v>
      </c>
      <c r="F109" s="18">
        <v>44969</v>
      </c>
      <c r="G109">
        <v>74</v>
      </c>
      <c r="H109">
        <v>3.5</v>
      </c>
      <c r="I109">
        <f>IF(MONTH(calls[[#This Row],[Date of Call]])&lt;=6, YEAR(calls[[#This Row],[Date of Call]]), YEAR(calls[[#This Row],[Date of Call]])+1)</f>
        <v>2023</v>
      </c>
      <c r="J109" t="str">
        <f>TEXT(calls[[#This Row],[Date of Call]],"DDDD")</f>
        <v>Sunday</v>
      </c>
      <c r="K109" t="str" cm="1">
        <f t="array" ref="K10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09">
        <f>ROUND(calls[[#This Row],[Satisfaction Rating]],0)</f>
        <v>4</v>
      </c>
    </row>
    <row r="110" spans="2:12">
      <c r="B110" t="s">
        <v>132</v>
      </c>
      <c r="C110" t="s">
        <v>12</v>
      </c>
      <c r="D110">
        <v>127</v>
      </c>
      <c r="E110" s="17" t="s">
        <v>13</v>
      </c>
      <c r="F110" s="18">
        <v>44970</v>
      </c>
      <c r="G110">
        <v>165</v>
      </c>
      <c r="H110">
        <v>4.7</v>
      </c>
      <c r="I110">
        <f>IF(MONTH(calls[[#This Row],[Date of Call]])&lt;=6, YEAR(calls[[#This Row],[Date of Call]]), YEAR(calls[[#This Row],[Date of Call]])+1)</f>
        <v>2023</v>
      </c>
      <c r="J110" t="str">
        <f>TEXT(calls[[#This Row],[Date of Call]],"DDDD")</f>
        <v>Monday</v>
      </c>
      <c r="K110" t="str" cm="1">
        <f t="array" ref="K11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10">
        <f>ROUND(calls[[#This Row],[Satisfaction Rating]],0)</f>
        <v>5</v>
      </c>
    </row>
    <row r="111" spans="2:12">
      <c r="B111" t="s">
        <v>133</v>
      </c>
      <c r="C111" t="s">
        <v>19</v>
      </c>
      <c r="D111">
        <v>137</v>
      </c>
      <c r="E111" s="17" t="s">
        <v>11</v>
      </c>
      <c r="F111" s="18">
        <v>44970</v>
      </c>
      <c r="G111">
        <v>34</v>
      </c>
      <c r="H111">
        <v>2.9</v>
      </c>
      <c r="I111">
        <f>IF(MONTH(calls[[#This Row],[Date of Call]])&lt;=6, YEAR(calls[[#This Row],[Date of Call]]), YEAR(calls[[#This Row],[Date of Call]])+1)</f>
        <v>2023</v>
      </c>
      <c r="J111" t="str">
        <f>TEXT(calls[[#This Row],[Date of Call]],"DDDD")</f>
        <v>Monday</v>
      </c>
      <c r="K111" t="str" cm="1">
        <f t="array" ref="K11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11">
        <f>ROUND(calls[[#This Row],[Satisfaction Rating]],0)</f>
        <v>3</v>
      </c>
    </row>
    <row r="112" spans="2:12">
      <c r="B112" t="s">
        <v>134</v>
      </c>
      <c r="C112" t="s">
        <v>12</v>
      </c>
      <c r="D112">
        <v>76</v>
      </c>
      <c r="E112" s="17" t="s">
        <v>6</v>
      </c>
      <c r="F112" s="18">
        <v>44970</v>
      </c>
      <c r="G112">
        <v>64</v>
      </c>
      <c r="H112">
        <v>3.4</v>
      </c>
      <c r="I112">
        <f>IF(MONTH(calls[[#This Row],[Date of Call]])&lt;=6, YEAR(calls[[#This Row],[Date of Call]]), YEAR(calls[[#This Row],[Date of Call]])+1)</f>
        <v>2023</v>
      </c>
      <c r="J112" t="str">
        <f>TEXT(calls[[#This Row],[Date of Call]],"DDDD")</f>
        <v>Monday</v>
      </c>
      <c r="K112" t="str" cm="1">
        <f t="array" ref="K1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2">
        <f>ROUND(calls[[#This Row],[Satisfaction Rating]],0)</f>
        <v>3</v>
      </c>
    </row>
    <row r="113" spans="2:12">
      <c r="B113" t="s">
        <v>135</v>
      </c>
      <c r="C113" t="s">
        <v>23</v>
      </c>
      <c r="D113">
        <v>80</v>
      </c>
      <c r="E113" s="17" t="s">
        <v>13</v>
      </c>
      <c r="F113" s="18">
        <v>44971</v>
      </c>
      <c r="G113">
        <v>155</v>
      </c>
      <c r="H113">
        <v>3.2</v>
      </c>
      <c r="I113">
        <f>IF(MONTH(calls[[#This Row],[Date of Call]])&lt;=6, YEAR(calls[[#This Row],[Date of Call]]), YEAR(calls[[#This Row],[Date of Call]])+1)</f>
        <v>2023</v>
      </c>
      <c r="J113" t="str">
        <f>TEXT(calls[[#This Row],[Date of Call]],"DDDD")</f>
        <v>Tuesday</v>
      </c>
      <c r="K113" t="str" cm="1">
        <f t="array" ref="K1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3">
        <f>ROUND(calls[[#This Row],[Satisfaction Rating]],0)</f>
        <v>3</v>
      </c>
    </row>
    <row r="114" spans="2:12">
      <c r="B114" t="s">
        <v>136</v>
      </c>
      <c r="C114" t="s">
        <v>12</v>
      </c>
      <c r="D114">
        <v>95</v>
      </c>
      <c r="E114" s="17" t="s">
        <v>9</v>
      </c>
      <c r="F114" s="18">
        <v>44972</v>
      </c>
      <c r="G114">
        <v>120</v>
      </c>
      <c r="H114">
        <v>4.8</v>
      </c>
      <c r="I114">
        <f>IF(MONTH(calls[[#This Row],[Date of Call]])&lt;=6, YEAR(calls[[#This Row],[Date of Call]]), YEAR(calls[[#This Row],[Date of Call]])+1)</f>
        <v>2023</v>
      </c>
      <c r="J114" t="str">
        <f>TEXT(calls[[#This Row],[Date of Call]],"DDDD")</f>
        <v>Wednesday</v>
      </c>
      <c r="K114" t="str" cm="1">
        <f t="array" ref="K1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4">
        <f>ROUND(calls[[#This Row],[Satisfaction Rating]],0)</f>
        <v>5</v>
      </c>
    </row>
    <row r="115" spans="2:12">
      <c r="B115" t="s">
        <v>137</v>
      </c>
      <c r="C115" t="s">
        <v>7</v>
      </c>
      <c r="D115">
        <v>30</v>
      </c>
      <c r="E115" s="17" t="s">
        <v>6</v>
      </c>
      <c r="F115" s="18">
        <v>44972</v>
      </c>
      <c r="G115">
        <v>105</v>
      </c>
      <c r="H115">
        <v>3.6</v>
      </c>
      <c r="I115">
        <f>IF(MONTH(calls[[#This Row],[Date of Call]])&lt;=6, YEAR(calls[[#This Row],[Date of Call]]), YEAR(calls[[#This Row],[Date of Call]])+1)</f>
        <v>2023</v>
      </c>
      <c r="J115" t="str">
        <f>TEXT(calls[[#This Row],[Date of Call]],"DDDD")</f>
        <v>Wednesday</v>
      </c>
      <c r="K115" t="str" cm="1">
        <f t="array" ref="K11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15">
        <f>ROUND(calls[[#This Row],[Satisfaction Rating]],0)</f>
        <v>4</v>
      </c>
    </row>
    <row r="116" spans="2:12">
      <c r="B116" t="s">
        <v>138</v>
      </c>
      <c r="C116" t="s">
        <v>8</v>
      </c>
      <c r="D116">
        <v>19</v>
      </c>
      <c r="E116" s="17" t="s">
        <v>11</v>
      </c>
      <c r="F116" s="18">
        <v>44972</v>
      </c>
      <c r="G116">
        <v>28</v>
      </c>
      <c r="H116">
        <v>4.9000000000000004</v>
      </c>
      <c r="I116">
        <f>IF(MONTH(calls[[#This Row],[Date of Call]])&lt;=6, YEAR(calls[[#This Row],[Date of Call]]), YEAR(calls[[#This Row],[Date of Call]])+1)</f>
        <v>2023</v>
      </c>
      <c r="J116" t="str">
        <f>TEXT(calls[[#This Row],[Date of Call]],"DDDD")</f>
        <v>Wednesday</v>
      </c>
      <c r="K116" t="str" cm="1">
        <f t="array" ref="K11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16">
        <f>ROUND(calls[[#This Row],[Satisfaction Rating]],0)</f>
        <v>5</v>
      </c>
    </row>
    <row r="117" spans="2:12">
      <c r="B117" t="s">
        <v>139</v>
      </c>
      <c r="C117" t="s">
        <v>18</v>
      </c>
      <c r="D117">
        <v>38</v>
      </c>
      <c r="E117" s="17" t="s">
        <v>13</v>
      </c>
      <c r="F117" s="18">
        <v>44972</v>
      </c>
      <c r="G117">
        <v>100</v>
      </c>
      <c r="H117">
        <v>4.8</v>
      </c>
      <c r="I117">
        <f>IF(MONTH(calls[[#This Row],[Date of Call]])&lt;=6, YEAR(calls[[#This Row],[Date of Call]]), YEAR(calls[[#This Row],[Date of Call]])+1)</f>
        <v>2023</v>
      </c>
      <c r="J117" t="str">
        <f>TEXT(calls[[#This Row],[Date of Call]],"DDDD")</f>
        <v>Wednesday</v>
      </c>
      <c r="K117" t="str" cm="1">
        <f t="array" ref="K11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17">
        <f>ROUND(calls[[#This Row],[Satisfaction Rating]],0)</f>
        <v>5</v>
      </c>
    </row>
    <row r="118" spans="2:12">
      <c r="B118" t="s">
        <v>140</v>
      </c>
      <c r="C118" t="s">
        <v>14</v>
      </c>
      <c r="D118">
        <v>55</v>
      </c>
      <c r="E118" s="17" t="s">
        <v>11</v>
      </c>
      <c r="F118" s="18">
        <v>44972</v>
      </c>
      <c r="G118">
        <v>23</v>
      </c>
      <c r="H118">
        <v>3.6</v>
      </c>
      <c r="I118">
        <f>IF(MONTH(calls[[#This Row],[Date of Call]])&lt;=6, YEAR(calls[[#This Row],[Date of Call]]), YEAR(calls[[#This Row],[Date of Call]])+1)</f>
        <v>2023</v>
      </c>
      <c r="J118" t="str">
        <f>TEXT(calls[[#This Row],[Date of Call]],"DDDD")</f>
        <v>Wednesday</v>
      </c>
      <c r="K118" t="str" cm="1">
        <f t="array" ref="K1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18">
        <f>ROUND(calls[[#This Row],[Satisfaction Rating]],0)</f>
        <v>4</v>
      </c>
    </row>
    <row r="119" spans="2:12">
      <c r="B119" t="s">
        <v>141</v>
      </c>
      <c r="C119" t="s">
        <v>22</v>
      </c>
      <c r="D119">
        <v>27</v>
      </c>
      <c r="E119" s="17" t="s">
        <v>6</v>
      </c>
      <c r="F119" s="18">
        <v>44973</v>
      </c>
      <c r="G119">
        <v>70</v>
      </c>
      <c r="H119">
        <v>3.9</v>
      </c>
      <c r="I119">
        <f>IF(MONTH(calls[[#This Row],[Date of Call]])&lt;=6, YEAR(calls[[#This Row],[Date of Call]]), YEAR(calls[[#This Row],[Date of Call]])+1)</f>
        <v>2023</v>
      </c>
      <c r="J119" t="str">
        <f>TEXT(calls[[#This Row],[Date of Call]],"DDDD")</f>
        <v>Thursday</v>
      </c>
      <c r="K119" t="str" cm="1">
        <f t="array" ref="K11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19">
        <f>ROUND(calls[[#This Row],[Satisfaction Rating]],0)</f>
        <v>4</v>
      </c>
    </row>
    <row r="120" spans="2:12">
      <c r="B120" t="s">
        <v>142</v>
      </c>
      <c r="C120" t="s">
        <v>22</v>
      </c>
      <c r="D120">
        <v>32</v>
      </c>
      <c r="E120" s="17" t="s">
        <v>6</v>
      </c>
      <c r="F120" s="18">
        <v>44973</v>
      </c>
      <c r="G120">
        <v>37</v>
      </c>
      <c r="H120">
        <v>1.9</v>
      </c>
      <c r="I120">
        <f>IF(MONTH(calls[[#This Row],[Date of Call]])&lt;=6, YEAR(calls[[#This Row],[Date of Call]]), YEAR(calls[[#This Row],[Date of Call]])+1)</f>
        <v>2023</v>
      </c>
      <c r="J120" t="str">
        <f>TEXT(calls[[#This Row],[Date of Call]],"DDDD")</f>
        <v>Thursday</v>
      </c>
      <c r="K120" t="str" cm="1">
        <f t="array" ref="K12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20">
        <f>ROUND(calls[[#This Row],[Satisfaction Rating]],0)</f>
        <v>2</v>
      </c>
    </row>
    <row r="121" spans="2:12">
      <c r="B121" t="s">
        <v>143</v>
      </c>
      <c r="C121" t="s">
        <v>24</v>
      </c>
      <c r="D121">
        <v>116</v>
      </c>
      <c r="E121" s="17" t="s">
        <v>10</v>
      </c>
      <c r="F121" s="18">
        <v>44973</v>
      </c>
      <c r="G121">
        <v>140</v>
      </c>
      <c r="H121">
        <v>3.6</v>
      </c>
      <c r="I121">
        <f>IF(MONTH(calls[[#This Row],[Date of Call]])&lt;=6, YEAR(calls[[#This Row],[Date of Call]]), YEAR(calls[[#This Row],[Date of Call]])+1)</f>
        <v>2023</v>
      </c>
      <c r="J121" t="str">
        <f>TEXT(calls[[#This Row],[Date of Call]],"DDDD")</f>
        <v>Thursday</v>
      </c>
      <c r="K121" t="str" cm="1">
        <f t="array" ref="K1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1">
        <f>ROUND(calls[[#This Row],[Satisfaction Rating]],0)</f>
        <v>4</v>
      </c>
    </row>
    <row r="122" spans="2:12">
      <c r="B122" t="s">
        <v>144</v>
      </c>
      <c r="C122" t="s">
        <v>20</v>
      </c>
      <c r="D122">
        <v>99</v>
      </c>
      <c r="E122" s="17" t="s">
        <v>9</v>
      </c>
      <c r="F122" s="18">
        <v>44973</v>
      </c>
      <c r="G122">
        <v>78</v>
      </c>
      <c r="H122">
        <v>4.0999999999999996</v>
      </c>
      <c r="I122">
        <f>IF(MONTH(calls[[#This Row],[Date of Call]])&lt;=6, YEAR(calls[[#This Row],[Date of Call]]), YEAR(calls[[#This Row],[Date of Call]])+1)</f>
        <v>2023</v>
      </c>
      <c r="J122" t="str">
        <f>TEXT(calls[[#This Row],[Date of Call]],"DDDD")</f>
        <v>Thursday</v>
      </c>
      <c r="K122" t="str" cm="1">
        <f t="array" ref="K1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2">
        <f>ROUND(calls[[#This Row],[Satisfaction Rating]],0)</f>
        <v>4</v>
      </c>
    </row>
    <row r="123" spans="2:12">
      <c r="B123" t="s">
        <v>145</v>
      </c>
      <c r="C123" t="s">
        <v>12</v>
      </c>
      <c r="D123">
        <v>75</v>
      </c>
      <c r="E123" s="17" t="s">
        <v>6</v>
      </c>
      <c r="F123" s="18">
        <v>44974</v>
      </c>
      <c r="G123">
        <v>21</v>
      </c>
      <c r="H123">
        <v>4.2</v>
      </c>
      <c r="I123">
        <f>IF(MONTH(calls[[#This Row],[Date of Call]])&lt;=6, YEAR(calls[[#This Row],[Date of Call]]), YEAR(calls[[#This Row],[Date of Call]])+1)</f>
        <v>2023</v>
      </c>
      <c r="J123" t="str">
        <f>TEXT(calls[[#This Row],[Date of Call]],"DDDD")</f>
        <v>Friday</v>
      </c>
      <c r="K123" t="str" cm="1">
        <f t="array" ref="K1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3">
        <f>ROUND(calls[[#This Row],[Satisfaction Rating]],0)</f>
        <v>4</v>
      </c>
    </row>
    <row r="124" spans="2:12">
      <c r="B124" t="s">
        <v>146</v>
      </c>
      <c r="C124" t="s">
        <v>23</v>
      </c>
      <c r="D124">
        <v>57</v>
      </c>
      <c r="E124" s="17" t="s">
        <v>10</v>
      </c>
      <c r="F124" s="18">
        <v>44974</v>
      </c>
      <c r="G124">
        <v>88</v>
      </c>
      <c r="H124">
        <v>4.3</v>
      </c>
      <c r="I124">
        <f>IF(MONTH(calls[[#This Row],[Date of Call]])&lt;=6, YEAR(calls[[#This Row],[Date of Call]]), YEAR(calls[[#This Row],[Date of Call]])+1)</f>
        <v>2023</v>
      </c>
      <c r="J124" t="str">
        <f>TEXT(calls[[#This Row],[Date of Call]],"DDDD")</f>
        <v>Friday</v>
      </c>
      <c r="K124" t="str" cm="1">
        <f t="array" ref="K12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24">
        <f>ROUND(calls[[#This Row],[Satisfaction Rating]],0)</f>
        <v>4</v>
      </c>
    </row>
    <row r="125" spans="2:12">
      <c r="B125" t="s">
        <v>147</v>
      </c>
      <c r="C125" t="s">
        <v>15</v>
      </c>
      <c r="D125">
        <v>155</v>
      </c>
      <c r="E125" s="17" t="s">
        <v>10</v>
      </c>
      <c r="F125" s="18">
        <v>44975</v>
      </c>
      <c r="G125">
        <v>180</v>
      </c>
      <c r="H125">
        <v>2.2000000000000002</v>
      </c>
      <c r="I125">
        <f>IF(MONTH(calls[[#This Row],[Date of Call]])&lt;=6, YEAR(calls[[#This Row],[Date of Call]]), YEAR(calls[[#This Row],[Date of Call]])+1)</f>
        <v>2023</v>
      </c>
      <c r="J125" t="str">
        <f>TEXT(calls[[#This Row],[Date of Call]],"DDDD")</f>
        <v>Saturday</v>
      </c>
      <c r="K125" t="str" cm="1">
        <f t="array" ref="K12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25">
        <f>ROUND(calls[[#This Row],[Satisfaction Rating]],0)</f>
        <v>2</v>
      </c>
    </row>
    <row r="126" spans="2:12">
      <c r="B126" t="s">
        <v>148</v>
      </c>
      <c r="C126" t="s">
        <v>20</v>
      </c>
      <c r="D126">
        <v>68</v>
      </c>
      <c r="E126" s="17" t="s">
        <v>9</v>
      </c>
      <c r="F126" s="18">
        <v>44975</v>
      </c>
      <c r="G126">
        <v>22</v>
      </c>
      <c r="H126">
        <v>3.3</v>
      </c>
      <c r="I126">
        <f>IF(MONTH(calls[[#This Row],[Date of Call]])&lt;=6, YEAR(calls[[#This Row],[Date of Call]]), YEAR(calls[[#This Row],[Date of Call]])+1)</f>
        <v>2023</v>
      </c>
      <c r="J126" t="str">
        <f>TEXT(calls[[#This Row],[Date of Call]],"DDDD")</f>
        <v>Saturday</v>
      </c>
      <c r="K126" t="str" cm="1">
        <f t="array" ref="K12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6">
        <f>ROUND(calls[[#This Row],[Satisfaction Rating]],0)</f>
        <v>3</v>
      </c>
    </row>
    <row r="127" spans="2:12">
      <c r="B127" t="s">
        <v>149</v>
      </c>
      <c r="C127" t="s">
        <v>18</v>
      </c>
      <c r="D127">
        <v>95</v>
      </c>
      <c r="E127" s="17" t="s">
        <v>9</v>
      </c>
      <c r="F127" s="18">
        <v>44975</v>
      </c>
      <c r="G127">
        <v>52</v>
      </c>
      <c r="H127">
        <v>4.8</v>
      </c>
      <c r="I127">
        <f>IF(MONTH(calls[[#This Row],[Date of Call]])&lt;=6, YEAR(calls[[#This Row],[Date of Call]]), YEAR(calls[[#This Row],[Date of Call]])+1)</f>
        <v>2023</v>
      </c>
      <c r="J127" t="str">
        <f>TEXT(calls[[#This Row],[Date of Call]],"DDDD")</f>
        <v>Saturday</v>
      </c>
      <c r="K127" t="str" cm="1">
        <f t="array" ref="K12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7">
        <f>ROUND(calls[[#This Row],[Satisfaction Rating]],0)</f>
        <v>5</v>
      </c>
    </row>
    <row r="128" spans="2:12">
      <c r="B128" t="s">
        <v>150</v>
      </c>
      <c r="C128" t="s">
        <v>19</v>
      </c>
      <c r="D128">
        <v>65</v>
      </c>
      <c r="E128" s="17" t="s">
        <v>10</v>
      </c>
      <c r="F128" s="18">
        <v>44976</v>
      </c>
      <c r="G128">
        <v>80</v>
      </c>
      <c r="H128">
        <v>4</v>
      </c>
      <c r="I128">
        <f>IF(MONTH(calls[[#This Row],[Date of Call]])&lt;=6, YEAR(calls[[#This Row],[Date of Call]]), YEAR(calls[[#This Row],[Date of Call]])+1)</f>
        <v>2023</v>
      </c>
      <c r="J128" t="str">
        <f>TEXT(calls[[#This Row],[Date of Call]],"DDDD")</f>
        <v>Sunday</v>
      </c>
      <c r="K128" t="str" cm="1">
        <f t="array" ref="K1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8">
        <f>ROUND(calls[[#This Row],[Satisfaction Rating]],0)</f>
        <v>4</v>
      </c>
    </row>
    <row r="129" spans="2:12">
      <c r="B129" t="s">
        <v>151</v>
      </c>
      <c r="C129" t="s">
        <v>8</v>
      </c>
      <c r="D129">
        <v>114</v>
      </c>
      <c r="E129" s="17" t="s">
        <v>11</v>
      </c>
      <c r="F129" s="18">
        <v>44976</v>
      </c>
      <c r="G129">
        <v>54</v>
      </c>
      <c r="H129">
        <v>1.1000000000000001</v>
      </c>
      <c r="I129">
        <f>IF(MONTH(calls[[#This Row],[Date of Call]])&lt;=6, YEAR(calls[[#This Row],[Date of Call]]), YEAR(calls[[#This Row],[Date of Call]])+1)</f>
        <v>2023</v>
      </c>
      <c r="J129" t="str">
        <f>TEXT(calls[[#This Row],[Date of Call]],"DDDD")</f>
        <v>Sunday</v>
      </c>
      <c r="K129" t="str" cm="1">
        <f t="array" ref="K1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9">
        <f>ROUND(calls[[#This Row],[Satisfaction Rating]],0)</f>
        <v>1</v>
      </c>
    </row>
    <row r="130" spans="2:12">
      <c r="B130" t="s">
        <v>152</v>
      </c>
      <c r="C130" t="s">
        <v>12</v>
      </c>
      <c r="D130">
        <v>155</v>
      </c>
      <c r="E130" s="17" t="s">
        <v>11</v>
      </c>
      <c r="F130" s="18">
        <v>44977</v>
      </c>
      <c r="G130">
        <v>80</v>
      </c>
      <c r="H130">
        <v>3.9</v>
      </c>
      <c r="I130">
        <f>IF(MONTH(calls[[#This Row],[Date of Call]])&lt;=6, YEAR(calls[[#This Row],[Date of Call]]), YEAR(calls[[#This Row],[Date of Call]])+1)</f>
        <v>2023</v>
      </c>
      <c r="J130" t="str">
        <f>TEXT(calls[[#This Row],[Date of Call]],"DDDD")</f>
        <v>Monday</v>
      </c>
      <c r="K130" t="str" cm="1">
        <f t="array" ref="K1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0">
        <f>ROUND(calls[[#This Row],[Satisfaction Rating]],0)</f>
        <v>4</v>
      </c>
    </row>
    <row r="131" spans="2:12">
      <c r="B131" t="s">
        <v>153</v>
      </c>
      <c r="C131" t="s">
        <v>19</v>
      </c>
      <c r="D131">
        <v>114</v>
      </c>
      <c r="E131" s="17" t="s">
        <v>10</v>
      </c>
      <c r="F131" s="18">
        <v>44978</v>
      </c>
      <c r="G131">
        <v>120</v>
      </c>
      <c r="H131">
        <v>1.8</v>
      </c>
      <c r="I131">
        <f>IF(MONTH(calls[[#This Row],[Date of Call]])&lt;=6, YEAR(calls[[#This Row],[Date of Call]]), YEAR(calls[[#This Row],[Date of Call]])+1)</f>
        <v>2023</v>
      </c>
      <c r="J131" t="str">
        <f>TEXT(calls[[#This Row],[Date of Call]],"DDDD")</f>
        <v>Tuesday</v>
      </c>
      <c r="K131" t="str" cm="1">
        <f t="array" ref="K1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1">
        <f>ROUND(calls[[#This Row],[Satisfaction Rating]],0)</f>
        <v>2</v>
      </c>
    </row>
    <row r="132" spans="2:12">
      <c r="B132" t="s">
        <v>154</v>
      </c>
      <c r="C132" t="s">
        <v>15</v>
      </c>
      <c r="D132">
        <v>130</v>
      </c>
      <c r="E132" s="17" t="s">
        <v>13</v>
      </c>
      <c r="F132" s="18">
        <v>44978</v>
      </c>
      <c r="G132">
        <v>150</v>
      </c>
      <c r="H132">
        <v>1</v>
      </c>
      <c r="I132">
        <f>IF(MONTH(calls[[#This Row],[Date of Call]])&lt;=6, YEAR(calls[[#This Row],[Date of Call]]), YEAR(calls[[#This Row],[Date of Call]])+1)</f>
        <v>2023</v>
      </c>
      <c r="J132" t="str">
        <f>TEXT(calls[[#This Row],[Date of Call]],"DDDD")</f>
        <v>Tuesday</v>
      </c>
      <c r="K132" t="str" cm="1">
        <f t="array" ref="K1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2">
        <f>ROUND(calls[[#This Row],[Satisfaction Rating]],0)</f>
        <v>1</v>
      </c>
    </row>
    <row r="133" spans="2:12">
      <c r="B133" t="s">
        <v>155</v>
      </c>
      <c r="C133" t="s">
        <v>12</v>
      </c>
      <c r="D133">
        <v>89</v>
      </c>
      <c r="E133" s="17" t="s">
        <v>10</v>
      </c>
      <c r="F133" s="18">
        <v>44978</v>
      </c>
      <c r="G133">
        <v>90</v>
      </c>
      <c r="H133">
        <v>4.3</v>
      </c>
      <c r="I133">
        <f>IF(MONTH(calls[[#This Row],[Date of Call]])&lt;=6, YEAR(calls[[#This Row],[Date of Call]]), YEAR(calls[[#This Row],[Date of Call]])+1)</f>
        <v>2023</v>
      </c>
      <c r="J133" t="str">
        <f>TEXT(calls[[#This Row],[Date of Call]],"DDDD")</f>
        <v>Tuesday</v>
      </c>
      <c r="K133" t="str" cm="1">
        <f t="array" ref="K1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3">
        <f>ROUND(calls[[#This Row],[Satisfaction Rating]],0)</f>
        <v>4</v>
      </c>
    </row>
    <row r="134" spans="2:12">
      <c r="B134" t="s">
        <v>156</v>
      </c>
      <c r="C134" t="s">
        <v>17</v>
      </c>
      <c r="D134">
        <v>61</v>
      </c>
      <c r="E134" s="17" t="s">
        <v>6</v>
      </c>
      <c r="F134" s="18">
        <v>44979</v>
      </c>
      <c r="G134">
        <v>140</v>
      </c>
      <c r="H134">
        <v>3.4</v>
      </c>
      <c r="I134">
        <f>IF(MONTH(calls[[#This Row],[Date of Call]])&lt;=6, YEAR(calls[[#This Row],[Date of Call]]), YEAR(calls[[#This Row],[Date of Call]])+1)</f>
        <v>2023</v>
      </c>
      <c r="J134" t="str">
        <f>TEXT(calls[[#This Row],[Date of Call]],"DDDD")</f>
        <v>Wednesday</v>
      </c>
      <c r="K134" t="str" cm="1">
        <f t="array" ref="K1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4">
        <f>ROUND(calls[[#This Row],[Satisfaction Rating]],0)</f>
        <v>3</v>
      </c>
    </row>
    <row r="135" spans="2:12">
      <c r="B135" t="s">
        <v>157</v>
      </c>
      <c r="C135" t="s">
        <v>18</v>
      </c>
      <c r="D135">
        <v>154</v>
      </c>
      <c r="E135" s="17" t="s">
        <v>11</v>
      </c>
      <c r="F135" s="18">
        <v>44979</v>
      </c>
      <c r="G135">
        <v>22</v>
      </c>
      <c r="H135">
        <v>3.4</v>
      </c>
      <c r="I135">
        <f>IF(MONTH(calls[[#This Row],[Date of Call]])&lt;=6, YEAR(calls[[#This Row],[Date of Call]]), YEAR(calls[[#This Row],[Date of Call]])+1)</f>
        <v>2023</v>
      </c>
      <c r="J135" t="str">
        <f>TEXT(calls[[#This Row],[Date of Call]],"DDDD")</f>
        <v>Wednesday</v>
      </c>
      <c r="K135" t="str" cm="1">
        <f t="array" ref="K13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5">
        <f>ROUND(calls[[#This Row],[Satisfaction Rating]],0)</f>
        <v>3</v>
      </c>
    </row>
    <row r="136" spans="2:12">
      <c r="B136" t="s">
        <v>158</v>
      </c>
      <c r="C136" t="s">
        <v>19</v>
      </c>
      <c r="D136">
        <v>115</v>
      </c>
      <c r="E136" s="17" t="s">
        <v>13</v>
      </c>
      <c r="F136" s="18">
        <v>44980</v>
      </c>
      <c r="G136">
        <v>150</v>
      </c>
      <c r="H136">
        <v>4.0999999999999996</v>
      </c>
      <c r="I136">
        <f>IF(MONTH(calls[[#This Row],[Date of Call]])&lt;=6, YEAR(calls[[#This Row],[Date of Call]]), YEAR(calls[[#This Row],[Date of Call]])+1)</f>
        <v>2023</v>
      </c>
      <c r="J136" t="str">
        <f>TEXT(calls[[#This Row],[Date of Call]],"DDDD")</f>
        <v>Thursday</v>
      </c>
      <c r="K136" t="str" cm="1">
        <f t="array" ref="K13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6">
        <f>ROUND(calls[[#This Row],[Satisfaction Rating]],0)</f>
        <v>4</v>
      </c>
    </row>
    <row r="137" spans="2:12">
      <c r="B137" t="s">
        <v>159</v>
      </c>
      <c r="C137" t="s">
        <v>5</v>
      </c>
      <c r="D137">
        <v>138</v>
      </c>
      <c r="E137" s="17" t="s">
        <v>9</v>
      </c>
      <c r="F137" s="18">
        <v>44981</v>
      </c>
      <c r="G137">
        <v>35</v>
      </c>
      <c r="H137">
        <v>4.8</v>
      </c>
      <c r="I137">
        <f>IF(MONTH(calls[[#This Row],[Date of Call]])&lt;=6, YEAR(calls[[#This Row],[Date of Call]]), YEAR(calls[[#This Row],[Date of Call]])+1)</f>
        <v>2023</v>
      </c>
      <c r="J137" t="str">
        <f>TEXT(calls[[#This Row],[Date of Call]],"DDDD")</f>
        <v>Friday</v>
      </c>
      <c r="K137" t="str" cm="1">
        <f t="array" ref="K1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7">
        <f>ROUND(calls[[#This Row],[Satisfaction Rating]],0)</f>
        <v>5</v>
      </c>
    </row>
    <row r="138" spans="2:12">
      <c r="B138" t="s">
        <v>160</v>
      </c>
      <c r="C138" t="s">
        <v>21</v>
      </c>
      <c r="D138">
        <v>153</v>
      </c>
      <c r="E138" s="17" t="s">
        <v>10</v>
      </c>
      <c r="F138" s="18">
        <v>44981</v>
      </c>
      <c r="G138">
        <v>200</v>
      </c>
      <c r="H138">
        <v>2</v>
      </c>
      <c r="I138">
        <f>IF(MONTH(calls[[#This Row],[Date of Call]])&lt;=6, YEAR(calls[[#This Row],[Date of Call]]), YEAR(calls[[#This Row],[Date of Call]])+1)</f>
        <v>2023</v>
      </c>
      <c r="J138" t="str">
        <f>TEXT(calls[[#This Row],[Date of Call]],"DDDD")</f>
        <v>Friday</v>
      </c>
      <c r="K138" t="str" cm="1">
        <f t="array" ref="K13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8">
        <f>ROUND(calls[[#This Row],[Satisfaction Rating]],0)</f>
        <v>2</v>
      </c>
    </row>
    <row r="139" spans="2:12">
      <c r="B139" t="s">
        <v>161</v>
      </c>
      <c r="C139" t="s">
        <v>19</v>
      </c>
      <c r="D139">
        <v>61</v>
      </c>
      <c r="E139" s="17" t="s">
        <v>6</v>
      </c>
      <c r="F139" s="18">
        <v>44982</v>
      </c>
      <c r="G139">
        <v>150</v>
      </c>
      <c r="H139">
        <v>4.5999999999999996</v>
      </c>
      <c r="I139">
        <f>IF(MONTH(calls[[#This Row],[Date of Call]])&lt;=6, YEAR(calls[[#This Row],[Date of Call]]), YEAR(calls[[#This Row],[Date of Call]])+1)</f>
        <v>2023</v>
      </c>
      <c r="J139" t="str">
        <f>TEXT(calls[[#This Row],[Date of Call]],"DDDD")</f>
        <v>Saturday</v>
      </c>
      <c r="K139" t="str" cm="1">
        <f t="array" ref="K1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9">
        <f>ROUND(calls[[#This Row],[Satisfaction Rating]],0)</f>
        <v>5</v>
      </c>
    </row>
    <row r="140" spans="2:12">
      <c r="B140" t="s">
        <v>162</v>
      </c>
      <c r="C140" t="s">
        <v>22</v>
      </c>
      <c r="D140">
        <v>62</v>
      </c>
      <c r="E140" s="17" t="s">
        <v>10</v>
      </c>
      <c r="F140" s="18">
        <v>44982</v>
      </c>
      <c r="G140">
        <v>21</v>
      </c>
      <c r="H140">
        <v>2.6</v>
      </c>
      <c r="I140">
        <f>IF(MONTH(calls[[#This Row],[Date of Call]])&lt;=6, YEAR(calls[[#This Row],[Date of Call]]), YEAR(calls[[#This Row],[Date of Call]])+1)</f>
        <v>2023</v>
      </c>
      <c r="J140" t="str">
        <f>TEXT(calls[[#This Row],[Date of Call]],"DDDD")</f>
        <v>Saturday</v>
      </c>
      <c r="K140" t="str" cm="1">
        <f t="array" ref="K1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0">
        <f>ROUND(calls[[#This Row],[Satisfaction Rating]],0)</f>
        <v>3</v>
      </c>
    </row>
    <row r="141" spans="2:12">
      <c r="B141" t="s">
        <v>163</v>
      </c>
      <c r="C141" t="s">
        <v>17</v>
      </c>
      <c r="D141">
        <v>151</v>
      </c>
      <c r="E141" s="17" t="s">
        <v>13</v>
      </c>
      <c r="F141" s="18">
        <v>44983</v>
      </c>
      <c r="G141">
        <v>46</v>
      </c>
      <c r="H141">
        <v>4.9000000000000004</v>
      </c>
      <c r="I141">
        <f>IF(MONTH(calls[[#This Row],[Date of Call]])&lt;=6, YEAR(calls[[#This Row],[Date of Call]]), YEAR(calls[[#This Row],[Date of Call]])+1)</f>
        <v>2023</v>
      </c>
      <c r="J141" t="str">
        <f>TEXT(calls[[#This Row],[Date of Call]],"DDDD")</f>
        <v>Sunday</v>
      </c>
      <c r="K141" t="str" cm="1">
        <f t="array" ref="K14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41">
        <f>ROUND(calls[[#This Row],[Satisfaction Rating]],0)</f>
        <v>5</v>
      </c>
    </row>
    <row r="142" spans="2:12">
      <c r="B142" t="s">
        <v>164</v>
      </c>
      <c r="C142" t="s">
        <v>16</v>
      </c>
      <c r="D142">
        <v>102</v>
      </c>
      <c r="E142" s="17" t="s">
        <v>11</v>
      </c>
      <c r="F142" s="18">
        <v>44983</v>
      </c>
      <c r="G142">
        <v>165</v>
      </c>
      <c r="H142">
        <v>2.7</v>
      </c>
      <c r="I142">
        <f>IF(MONTH(calls[[#This Row],[Date of Call]])&lt;=6, YEAR(calls[[#This Row],[Date of Call]]), YEAR(calls[[#This Row],[Date of Call]])+1)</f>
        <v>2023</v>
      </c>
      <c r="J142" t="str">
        <f>TEXT(calls[[#This Row],[Date of Call]],"DDDD")</f>
        <v>Sunday</v>
      </c>
      <c r="K142" t="str" cm="1">
        <f t="array" ref="K1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2">
        <f>ROUND(calls[[#This Row],[Satisfaction Rating]],0)</f>
        <v>3</v>
      </c>
    </row>
    <row r="143" spans="2:12">
      <c r="B143" t="s">
        <v>165</v>
      </c>
      <c r="C143" t="s">
        <v>7</v>
      </c>
      <c r="D143">
        <v>64</v>
      </c>
      <c r="E143" s="17" t="s">
        <v>10</v>
      </c>
      <c r="F143" s="18">
        <v>44983</v>
      </c>
      <c r="G143">
        <v>84</v>
      </c>
      <c r="H143">
        <v>4.0999999999999996</v>
      </c>
      <c r="I143">
        <f>IF(MONTH(calls[[#This Row],[Date of Call]])&lt;=6, YEAR(calls[[#This Row],[Date of Call]]), YEAR(calls[[#This Row],[Date of Call]])+1)</f>
        <v>2023</v>
      </c>
      <c r="J143" t="str">
        <f>TEXT(calls[[#This Row],[Date of Call]],"DDDD")</f>
        <v>Sunday</v>
      </c>
      <c r="K143" t="str" cm="1">
        <f t="array" ref="K1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3">
        <f>ROUND(calls[[#This Row],[Satisfaction Rating]],0)</f>
        <v>4</v>
      </c>
    </row>
    <row r="144" spans="2:12">
      <c r="B144" t="s">
        <v>166</v>
      </c>
      <c r="C144" t="s">
        <v>12</v>
      </c>
      <c r="D144">
        <v>6</v>
      </c>
      <c r="E144" s="17" t="s">
        <v>11</v>
      </c>
      <c r="F144" s="18">
        <v>44984</v>
      </c>
      <c r="G144">
        <v>102</v>
      </c>
      <c r="H144">
        <v>4.4000000000000004</v>
      </c>
      <c r="I144">
        <f>IF(MONTH(calls[[#This Row],[Date of Call]])&lt;=6, YEAR(calls[[#This Row],[Date of Call]]), YEAR(calls[[#This Row],[Date of Call]])+1)</f>
        <v>2023</v>
      </c>
      <c r="J144" t="str">
        <f>TEXT(calls[[#This Row],[Date of Call]],"DDDD")</f>
        <v>Monday</v>
      </c>
      <c r="K144" t="str" cm="1">
        <f t="array" ref="K144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144">
        <f>ROUND(calls[[#This Row],[Satisfaction Rating]],0)</f>
        <v>4</v>
      </c>
    </row>
    <row r="145" spans="2:12">
      <c r="B145" t="s">
        <v>167</v>
      </c>
      <c r="C145" t="s">
        <v>7</v>
      </c>
      <c r="D145">
        <v>129</v>
      </c>
      <c r="E145" s="17" t="s">
        <v>10</v>
      </c>
      <c r="F145" s="18">
        <v>44984</v>
      </c>
      <c r="G145">
        <v>180</v>
      </c>
      <c r="H145">
        <v>4.8</v>
      </c>
      <c r="I145">
        <f>IF(MONTH(calls[[#This Row],[Date of Call]])&lt;=6, YEAR(calls[[#This Row],[Date of Call]]), YEAR(calls[[#This Row],[Date of Call]])+1)</f>
        <v>2023</v>
      </c>
      <c r="J145" t="str">
        <f>TEXT(calls[[#This Row],[Date of Call]],"DDDD")</f>
        <v>Monday</v>
      </c>
      <c r="K145" t="str" cm="1">
        <f t="array" ref="K14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45">
        <f>ROUND(calls[[#This Row],[Satisfaction Rating]],0)</f>
        <v>5</v>
      </c>
    </row>
    <row r="146" spans="2:12">
      <c r="B146" t="s">
        <v>168</v>
      </c>
      <c r="C146" t="s">
        <v>22</v>
      </c>
      <c r="D146">
        <v>42</v>
      </c>
      <c r="E146" s="17" t="s">
        <v>13</v>
      </c>
      <c r="F146" s="18">
        <v>44985</v>
      </c>
      <c r="G146">
        <v>111</v>
      </c>
      <c r="H146">
        <v>3</v>
      </c>
      <c r="I146">
        <f>IF(MONTH(calls[[#This Row],[Date of Call]])&lt;=6, YEAR(calls[[#This Row],[Date of Call]]), YEAR(calls[[#This Row],[Date of Call]])+1)</f>
        <v>2023</v>
      </c>
      <c r="J146" t="str">
        <f>TEXT(calls[[#This Row],[Date of Call]],"DDDD")</f>
        <v>Tuesday</v>
      </c>
      <c r="K146" t="str" cm="1">
        <f t="array" ref="K14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46">
        <f>ROUND(calls[[#This Row],[Satisfaction Rating]],0)</f>
        <v>3</v>
      </c>
    </row>
    <row r="147" spans="2:12">
      <c r="B147" t="s">
        <v>169</v>
      </c>
      <c r="C147" t="s">
        <v>22</v>
      </c>
      <c r="D147">
        <v>71</v>
      </c>
      <c r="E147" s="17" t="s">
        <v>6</v>
      </c>
      <c r="F147" s="18">
        <v>44985</v>
      </c>
      <c r="G147">
        <v>104</v>
      </c>
      <c r="H147">
        <v>3.1</v>
      </c>
      <c r="I147">
        <f>IF(MONTH(calls[[#This Row],[Date of Call]])&lt;=6, YEAR(calls[[#This Row],[Date of Call]]), YEAR(calls[[#This Row],[Date of Call]])+1)</f>
        <v>2023</v>
      </c>
      <c r="J147" t="str">
        <f>TEXT(calls[[#This Row],[Date of Call]],"DDDD")</f>
        <v>Tuesday</v>
      </c>
      <c r="K147" t="str" cm="1">
        <f t="array" ref="K1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7">
        <f>ROUND(calls[[#This Row],[Satisfaction Rating]],0)</f>
        <v>3</v>
      </c>
    </row>
    <row r="148" spans="2:12">
      <c r="B148" t="s">
        <v>170</v>
      </c>
      <c r="C148" t="s">
        <v>23</v>
      </c>
      <c r="D148">
        <v>53</v>
      </c>
      <c r="E148" s="17" t="s">
        <v>11</v>
      </c>
      <c r="F148" s="18">
        <v>44985</v>
      </c>
      <c r="G148">
        <v>80</v>
      </c>
      <c r="H148">
        <v>2.6</v>
      </c>
      <c r="I148">
        <f>IF(MONTH(calls[[#This Row],[Date of Call]])&lt;=6, YEAR(calls[[#This Row],[Date of Call]]), YEAR(calls[[#This Row],[Date of Call]])+1)</f>
        <v>2023</v>
      </c>
      <c r="J148" t="str">
        <f>TEXT(calls[[#This Row],[Date of Call]],"DDDD")</f>
        <v>Tuesday</v>
      </c>
      <c r="K148" t="str" cm="1">
        <f t="array" ref="K14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48">
        <f>ROUND(calls[[#This Row],[Satisfaction Rating]],0)</f>
        <v>3</v>
      </c>
    </row>
    <row r="149" spans="2:12">
      <c r="B149" t="s">
        <v>171</v>
      </c>
      <c r="C149" t="s">
        <v>8</v>
      </c>
      <c r="D149">
        <v>155</v>
      </c>
      <c r="E149" s="17" t="s">
        <v>6</v>
      </c>
      <c r="F149" s="18">
        <v>44986</v>
      </c>
      <c r="G149">
        <v>132</v>
      </c>
      <c r="H149">
        <v>4.5999999999999996</v>
      </c>
      <c r="I149">
        <f>IF(MONTH(calls[[#This Row],[Date of Call]])&lt;=6, YEAR(calls[[#This Row],[Date of Call]]), YEAR(calls[[#This Row],[Date of Call]])+1)</f>
        <v>2023</v>
      </c>
      <c r="J149" t="str">
        <f>TEXT(calls[[#This Row],[Date of Call]],"DDDD")</f>
        <v>Wednesday</v>
      </c>
      <c r="K149" t="str" cm="1">
        <f t="array" ref="K1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49">
        <f>ROUND(calls[[#This Row],[Satisfaction Rating]],0)</f>
        <v>5</v>
      </c>
    </row>
    <row r="150" spans="2:12">
      <c r="B150" t="s">
        <v>172</v>
      </c>
      <c r="C150" t="s">
        <v>8</v>
      </c>
      <c r="D150">
        <v>90</v>
      </c>
      <c r="E150" s="17" t="s">
        <v>13</v>
      </c>
      <c r="F150" s="18">
        <v>44986</v>
      </c>
      <c r="G150">
        <v>170</v>
      </c>
      <c r="H150">
        <v>3.7</v>
      </c>
      <c r="I150">
        <f>IF(MONTH(calls[[#This Row],[Date of Call]])&lt;=6, YEAR(calls[[#This Row],[Date of Call]]), YEAR(calls[[#This Row],[Date of Call]])+1)</f>
        <v>2023</v>
      </c>
      <c r="J150" t="str">
        <f>TEXT(calls[[#This Row],[Date of Call]],"DDDD")</f>
        <v>Wednesday</v>
      </c>
      <c r="K150" t="str" cm="1">
        <f t="array" ref="K15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0">
        <f>ROUND(calls[[#This Row],[Satisfaction Rating]],0)</f>
        <v>4</v>
      </c>
    </row>
    <row r="151" spans="2:12">
      <c r="B151" t="s">
        <v>173</v>
      </c>
      <c r="C151" t="s">
        <v>7</v>
      </c>
      <c r="D151">
        <v>166</v>
      </c>
      <c r="E151" s="17" t="s">
        <v>9</v>
      </c>
      <c r="F151" s="18">
        <v>44986</v>
      </c>
      <c r="G151">
        <v>36</v>
      </c>
      <c r="H151">
        <v>3.8</v>
      </c>
      <c r="I151">
        <f>IF(MONTH(calls[[#This Row],[Date of Call]])&lt;=6, YEAR(calls[[#This Row],[Date of Call]]), YEAR(calls[[#This Row],[Date of Call]])+1)</f>
        <v>2023</v>
      </c>
      <c r="J151" t="str">
        <f>TEXT(calls[[#This Row],[Date of Call]],"DDDD")</f>
        <v>Wednesday</v>
      </c>
      <c r="K151" t="str" cm="1">
        <f t="array" ref="K15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1">
        <f>ROUND(calls[[#This Row],[Satisfaction Rating]],0)</f>
        <v>4</v>
      </c>
    </row>
    <row r="152" spans="2:12">
      <c r="B152" t="s">
        <v>174</v>
      </c>
      <c r="C152" t="s">
        <v>24</v>
      </c>
      <c r="D152">
        <v>89</v>
      </c>
      <c r="E152" s="17" t="s">
        <v>6</v>
      </c>
      <c r="F152" s="18">
        <v>44986</v>
      </c>
      <c r="G152">
        <v>126</v>
      </c>
      <c r="H152">
        <v>3.6</v>
      </c>
      <c r="I152">
        <f>IF(MONTH(calls[[#This Row],[Date of Call]])&lt;=6, YEAR(calls[[#This Row],[Date of Call]]), YEAR(calls[[#This Row],[Date of Call]])+1)</f>
        <v>2023</v>
      </c>
      <c r="J152" t="str">
        <f>TEXT(calls[[#This Row],[Date of Call]],"DDDD")</f>
        <v>Wednesday</v>
      </c>
      <c r="K152" t="str" cm="1">
        <f t="array" ref="K1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2">
        <f>ROUND(calls[[#This Row],[Satisfaction Rating]],0)</f>
        <v>4</v>
      </c>
    </row>
    <row r="153" spans="2:12">
      <c r="B153" t="s">
        <v>175</v>
      </c>
      <c r="C153" t="s">
        <v>19</v>
      </c>
      <c r="D153">
        <v>152</v>
      </c>
      <c r="E153" s="17" t="s">
        <v>11</v>
      </c>
      <c r="F153" s="18">
        <v>44986</v>
      </c>
      <c r="G153">
        <v>215</v>
      </c>
      <c r="H153">
        <v>4.4000000000000004</v>
      </c>
      <c r="I153">
        <f>IF(MONTH(calls[[#This Row],[Date of Call]])&lt;=6, YEAR(calls[[#This Row],[Date of Call]]), YEAR(calls[[#This Row],[Date of Call]])+1)</f>
        <v>2023</v>
      </c>
      <c r="J153" t="str">
        <f>TEXT(calls[[#This Row],[Date of Call]],"DDDD")</f>
        <v>Wednesday</v>
      </c>
      <c r="K153" t="str" cm="1">
        <f t="array" ref="K1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3">
        <f>ROUND(calls[[#This Row],[Satisfaction Rating]],0)</f>
        <v>4</v>
      </c>
    </row>
    <row r="154" spans="2:12">
      <c r="B154" t="s">
        <v>176</v>
      </c>
      <c r="C154" t="s">
        <v>24</v>
      </c>
      <c r="D154">
        <v>137</v>
      </c>
      <c r="E154" s="17" t="s">
        <v>13</v>
      </c>
      <c r="F154" s="18">
        <v>44986</v>
      </c>
      <c r="G154">
        <v>114</v>
      </c>
      <c r="H154">
        <v>3.2</v>
      </c>
      <c r="I154">
        <f>IF(MONTH(calls[[#This Row],[Date of Call]])&lt;=6, YEAR(calls[[#This Row],[Date of Call]]), YEAR(calls[[#This Row],[Date of Call]])+1)</f>
        <v>2023</v>
      </c>
      <c r="J154" t="str">
        <f>TEXT(calls[[#This Row],[Date of Call]],"DDDD")</f>
        <v>Wednesday</v>
      </c>
      <c r="K154" t="str" cm="1">
        <f t="array" ref="K1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4">
        <f>ROUND(calls[[#This Row],[Satisfaction Rating]],0)</f>
        <v>3</v>
      </c>
    </row>
    <row r="155" spans="2:12">
      <c r="B155" t="s">
        <v>177</v>
      </c>
      <c r="C155" t="s">
        <v>24</v>
      </c>
      <c r="D155">
        <v>43</v>
      </c>
      <c r="E155" s="17" t="s">
        <v>13</v>
      </c>
      <c r="F155" s="18">
        <v>44986</v>
      </c>
      <c r="G155">
        <v>99</v>
      </c>
      <c r="H155">
        <v>4.7</v>
      </c>
      <c r="I155">
        <f>IF(MONTH(calls[[#This Row],[Date of Call]])&lt;=6, YEAR(calls[[#This Row],[Date of Call]]), YEAR(calls[[#This Row],[Date of Call]])+1)</f>
        <v>2023</v>
      </c>
      <c r="J155" t="str">
        <f>TEXT(calls[[#This Row],[Date of Call]],"DDDD")</f>
        <v>Wednesday</v>
      </c>
      <c r="K155" t="str" cm="1">
        <f t="array" ref="K15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55">
        <f>ROUND(calls[[#This Row],[Satisfaction Rating]],0)</f>
        <v>5</v>
      </c>
    </row>
    <row r="156" spans="2:12">
      <c r="B156" t="s">
        <v>178</v>
      </c>
      <c r="C156" t="s">
        <v>18</v>
      </c>
      <c r="D156">
        <v>114</v>
      </c>
      <c r="E156" s="17" t="s">
        <v>13</v>
      </c>
      <c r="F156" s="18">
        <v>44987</v>
      </c>
      <c r="G156">
        <v>23</v>
      </c>
      <c r="H156">
        <v>4.8</v>
      </c>
      <c r="I156">
        <f>IF(MONTH(calls[[#This Row],[Date of Call]])&lt;=6, YEAR(calls[[#This Row],[Date of Call]]), YEAR(calls[[#This Row],[Date of Call]])+1)</f>
        <v>2023</v>
      </c>
      <c r="J156" t="str">
        <f>TEXT(calls[[#This Row],[Date of Call]],"DDDD")</f>
        <v>Thursday</v>
      </c>
      <c r="K156" t="str" cm="1">
        <f t="array" ref="K1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6">
        <f>ROUND(calls[[#This Row],[Satisfaction Rating]],0)</f>
        <v>5</v>
      </c>
    </row>
    <row r="157" spans="2:12">
      <c r="B157" t="s">
        <v>179</v>
      </c>
      <c r="C157" t="s">
        <v>21</v>
      </c>
      <c r="D157">
        <v>103</v>
      </c>
      <c r="E157" s="17" t="s">
        <v>6</v>
      </c>
      <c r="F157" s="18">
        <v>44987</v>
      </c>
      <c r="G157">
        <v>75</v>
      </c>
      <c r="H157">
        <v>2.7</v>
      </c>
      <c r="I157">
        <f>IF(MONTH(calls[[#This Row],[Date of Call]])&lt;=6, YEAR(calls[[#This Row],[Date of Call]]), YEAR(calls[[#This Row],[Date of Call]])+1)</f>
        <v>2023</v>
      </c>
      <c r="J157" t="str">
        <f>TEXT(calls[[#This Row],[Date of Call]],"DDDD")</f>
        <v>Thursday</v>
      </c>
      <c r="K157" t="str" cm="1">
        <f t="array" ref="K1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7">
        <f>ROUND(calls[[#This Row],[Satisfaction Rating]],0)</f>
        <v>3</v>
      </c>
    </row>
    <row r="158" spans="2:12">
      <c r="B158" t="s">
        <v>180</v>
      </c>
      <c r="C158" t="s">
        <v>24</v>
      </c>
      <c r="D158">
        <v>98</v>
      </c>
      <c r="E158" s="17" t="s">
        <v>11</v>
      </c>
      <c r="F158" s="18">
        <v>44987</v>
      </c>
      <c r="G158">
        <v>100</v>
      </c>
      <c r="H158">
        <v>3.8</v>
      </c>
      <c r="I158">
        <f>IF(MONTH(calls[[#This Row],[Date of Call]])&lt;=6, YEAR(calls[[#This Row],[Date of Call]]), YEAR(calls[[#This Row],[Date of Call]])+1)</f>
        <v>2023</v>
      </c>
      <c r="J158" t="str">
        <f>TEXT(calls[[#This Row],[Date of Call]],"DDDD")</f>
        <v>Thursday</v>
      </c>
      <c r="K158" t="str" cm="1">
        <f t="array" ref="K1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8">
        <f>ROUND(calls[[#This Row],[Satisfaction Rating]],0)</f>
        <v>4</v>
      </c>
    </row>
    <row r="159" spans="2:12">
      <c r="B159" t="s">
        <v>181</v>
      </c>
      <c r="C159" t="s">
        <v>7</v>
      </c>
      <c r="D159">
        <v>106</v>
      </c>
      <c r="E159" s="17" t="s">
        <v>9</v>
      </c>
      <c r="F159" s="18">
        <v>44987</v>
      </c>
      <c r="G159">
        <v>108</v>
      </c>
      <c r="H159">
        <v>4.3</v>
      </c>
      <c r="I159">
        <f>IF(MONTH(calls[[#This Row],[Date of Call]])&lt;=6, YEAR(calls[[#This Row],[Date of Call]]), YEAR(calls[[#This Row],[Date of Call]])+1)</f>
        <v>2023</v>
      </c>
      <c r="J159" t="str">
        <f>TEXT(calls[[#This Row],[Date of Call]],"DDDD")</f>
        <v>Thursday</v>
      </c>
      <c r="K159" t="str" cm="1">
        <f t="array" ref="K15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9">
        <f>ROUND(calls[[#This Row],[Satisfaction Rating]],0)</f>
        <v>4</v>
      </c>
    </row>
    <row r="160" spans="2:12">
      <c r="B160" t="s">
        <v>182</v>
      </c>
      <c r="C160" t="s">
        <v>12</v>
      </c>
      <c r="D160">
        <v>96</v>
      </c>
      <c r="E160" s="17" t="s">
        <v>9</v>
      </c>
      <c r="F160" s="18">
        <v>44987</v>
      </c>
      <c r="G160">
        <v>108</v>
      </c>
      <c r="H160">
        <v>5</v>
      </c>
      <c r="I160">
        <f>IF(MONTH(calls[[#This Row],[Date of Call]])&lt;=6, YEAR(calls[[#This Row],[Date of Call]]), YEAR(calls[[#This Row],[Date of Call]])+1)</f>
        <v>2023</v>
      </c>
      <c r="J160" t="str">
        <f>TEXT(calls[[#This Row],[Date of Call]],"DDDD")</f>
        <v>Thursday</v>
      </c>
      <c r="K160" t="str" cm="1">
        <f t="array" ref="K1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0">
        <f>ROUND(calls[[#This Row],[Satisfaction Rating]],0)</f>
        <v>5</v>
      </c>
    </row>
    <row r="161" spans="2:12">
      <c r="B161" t="s">
        <v>183</v>
      </c>
      <c r="C161" t="s">
        <v>21</v>
      </c>
      <c r="D161">
        <v>70</v>
      </c>
      <c r="E161" s="17" t="s">
        <v>9</v>
      </c>
      <c r="F161" s="18">
        <v>44987</v>
      </c>
      <c r="G161">
        <v>28</v>
      </c>
      <c r="H161">
        <v>4.8</v>
      </c>
      <c r="I161">
        <f>IF(MONTH(calls[[#This Row],[Date of Call]])&lt;=6, YEAR(calls[[#This Row],[Date of Call]]), YEAR(calls[[#This Row],[Date of Call]])+1)</f>
        <v>2023</v>
      </c>
      <c r="J161" t="str">
        <f>TEXT(calls[[#This Row],[Date of Call]],"DDDD")</f>
        <v>Thursday</v>
      </c>
      <c r="K161" t="str" cm="1">
        <f t="array" ref="K1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1">
        <f>ROUND(calls[[#This Row],[Satisfaction Rating]],0)</f>
        <v>5</v>
      </c>
    </row>
    <row r="162" spans="2:12">
      <c r="B162" t="s">
        <v>184</v>
      </c>
      <c r="C162" t="s">
        <v>22</v>
      </c>
      <c r="D162">
        <v>86</v>
      </c>
      <c r="E162" s="17" t="s">
        <v>10</v>
      </c>
      <c r="F162" s="18">
        <v>44988</v>
      </c>
      <c r="G162">
        <v>70</v>
      </c>
      <c r="H162">
        <v>4.9000000000000004</v>
      </c>
      <c r="I162">
        <f>IF(MONTH(calls[[#This Row],[Date of Call]])&lt;=6, YEAR(calls[[#This Row],[Date of Call]]), YEAR(calls[[#This Row],[Date of Call]])+1)</f>
        <v>2023</v>
      </c>
      <c r="J162" t="str">
        <f>TEXT(calls[[#This Row],[Date of Call]],"DDDD")</f>
        <v>Friday</v>
      </c>
      <c r="K162" t="str" cm="1">
        <f t="array" ref="K1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2">
        <f>ROUND(calls[[#This Row],[Satisfaction Rating]],0)</f>
        <v>5</v>
      </c>
    </row>
    <row r="163" spans="2:12">
      <c r="B163" t="s">
        <v>185</v>
      </c>
      <c r="C163" t="s">
        <v>23</v>
      </c>
      <c r="D163">
        <v>64</v>
      </c>
      <c r="E163" s="17" t="s">
        <v>10</v>
      </c>
      <c r="F163" s="18">
        <v>44988</v>
      </c>
      <c r="G163">
        <v>172</v>
      </c>
      <c r="H163">
        <v>4.0999999999999996</v>
      </c>
      <c r="I163">
        <f>IF(MONTH(calls[[#This Row],[Date of Call]])&lt;=6, YEAR(calls[[#This Row],[Date of Call]]), YEAR(calls[[#This Row],[Date of Call]])+1)</f>
        <v>2023</v>
      </c>
      <c r="J163" t="str">
        <f>TEXT(calls[[#This Row],[Date of Call]],"DDDD")</f>
        <v>Friday</v>
      </c>
      <c r="K163" t="str" cm="1">
        <f t="array" ref="K1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3">
        <f>ROUND(calls[[#This Row],[Satisfaction Rating]],0)</f>
        <v>4</v>
      </c>
    </row>
    <row r="164" spans="2:12">
      <c r="B164" t="s">
        <v>186</v>
      </c>
      <c r="C164" t="s">
        <v>12</v>
      </c>
      <c r="D164">
        <v>113</v>
      </c>
      <c r="E164" s="17" t="s">
        <v>11</v>
      </c>
      <c r="F164" s="18">
        <v>44988</v>
      </c>
      <c r="G164">
        <v>123</v>
      </c>
      <c r="H164">
        <v>4.4000000000000004</v>
      </c>
      <c r="I164">
        <f>IF(MONTH(calls[[#This Row],[Date of Call]])&lt;=6, YEAR(calls[[#This Row],[Date of Call]]), YEAR(calls[[#This Row],[Date of Call]])+1)</f>
        <v>2023</v>
      </c>
      <c r="J164" t="str">
        <f>TEXT(calls[[#This Row],[Date of Call]],"DDDD")</f>
        <v>Friday</v>
      </c>
      <c r="K164" t="str" cm="1">
        <f t="array" ref="K1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4">
        <f>ROUND(calls[[#This Row],[Satisfaction Rating]],0)</f>
        <v>4</v>
      </c>
    </row>
    <row r="165" spans="2:12">
      <c r="B165" t="s">
        <v>187</v>
      </c>
      <c r="C165" t="s">
        <v>12</v>
      </c>
      <c r="D165">
        <v>21</v>
      </c>
      <c r="E165" s="17" t="s">
        <v>9</v>
      </c>
      <c r="F165" s="18">
        <v>44988</v>
      </c>
      <c r="G165">
        <v>93</v>
      </c>
      <c r="H165">
        <v>3.4</v>
      </c>
      <c r="I165">
        <f>IF(MONTH(calls[[#This Row],[Date of Call]])&lt;=6, YEAR(calls[[#This Row],[Date of Call]]), YEAR(calls[[#This Row],[Date of Call]])+1)</f>
        <v>2023</v>
      </c>
      <c r="J165" t="str">
        <f>TEXT(calls[[#This Row],[Date of Call]],"DDDD")</f>
        <v>Friday</v>
      </c>
      <c r="K165" t="str" cm="1">
        <f t="array" ref="K16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65">
        <f>ROUND(calls[[#This Row],[Satisfaction Rating]],0)</f>
        <v>3</v>
      </c>
    </row>
    <row r="166" spans="2:12">
      <c r="B166" t="s">
        <v>188</v>
      </c>
      <c r="C166" t="s">
        <v>16</v>
      </c>
      <c r="D166">
        <v>107</v>
      </c>
      <c r="E166" s="17" t="s">
        <v>10</v>
      </c>
      <c r="F166" s="18">
        <v>44988</v>
      </c>
      <c r="G166">
        <v>66</v>
      </c>
      <c r="H166">
        <v>4</v>
      </c>
      <c r="I166">
        <f>IF(MONTH(calls[[#This Row],[Date of Call]])&lt;=6, YEAR(calls[[#This Row],[Date of Call]]), YEAR(calls[[#This Row],[Date of Call]])+1)</f>
        <v>2023</v>
      </c>
      <c r="J166" t="str">
        <f>TEXT(calls[[#This Row],[Date of Call]],"DDDD")</f>
        <v>Friday</v>
      </c>
      <c r="K166" t="str" cm="1">
        <f t="array" ref="K1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6">
        <f>ROUND(calls[[#This Row],[Satisfaction Rating]],0)</f>
        <v>4</v>
      </c>
    </row>
    <row r="167" spans="2:12">
      <c r="B167" t="s">
        <v>189</v>
      </c>
      <c r="C167" t="s">
        <v>16</v>
      </c>
      <c r="D167">
        <v>131</v>
      </c>
      <c r="E167" s="17" t="s">
        <v>9</v>
      </c>
      <c r="F167" s="18">
        <v>44988</v>
      </c>
      <c r="G167">
        <v>39</v>
      </c>
      <c r="H167">
        <v>2.4</v>
      </c>
      <c r="I167">
        <f>IF(MONTH(calls[[#This Row],[Date of Call]])&lt;=6, YEAR(calls[[#This Row],[Date of Call]]), YEAR(calls[[#This Row],[Date of Call]])+1)</f>
        <v>2023</v>
      </c>
      <c r="J167" t="str">
        <f>TEXT(calls[[#This Row],[Date of Call]],"DDDD")</f>
        <v>Friday</v>
      </c>
      <c r="K167" t="str" cm="1">
        <f t="array" ref="K16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67">
        <f>ROUND(calls[[#This Row],[Satisfaction Rating]],0)</f>
        <v>2</v>
      </c>
    </row>
    <row r="168" spans="2:12">
      <c r="B168" t="s">
        <v>190</v>
      </c>
      <c r="C168" t="s">
        <v>20</v>
      </c>
      <c r="D168">
        <v>11</v>
      </c>
      <c r="E168" s="17" t="s">
        <v>6</v>
      </c>
      <c r="F168" s="18">
        <v>44988</v>
      </c>
      <c r="G168">
        <v>25</v>
      </c>
      <c r="H168">
        <v>2.1</v>
      </c>
      <c r="I168">
        <f>IF(MONTH(calls[[#This Row],[Date of Call]])&lt;=6, YEAR(calls[[#This Row],[Date of Call]]), YEAR(calls[[#This Row],[Date of Call]])+1)</f>
        <v>2023</v>
      </c>
      <c r="J168" t="str">
        <f>TEXT(calls[[#This Row],[Date of Call]],"DDDD")</f>
        <v>Friday</v>
      </c>
      <c r="K168" t="str" cm="1">
        <f t="array" ref="K16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68">
        <f>ROUND(calls[[#This Row],[Satisfaction Rating]],0)</f>
        <v>2</v>
      </c>
    </row>
    <row r="169" spans="2:12">
      <c r="B169" t="s">
        <v>191</v>
      </c>
      <c r="C169" t="s">
        <v>17</v>
      </c>
      <c r="D169">
        <v>86</v>
      </c>
      <c r="E169" s="17" t="s">
        <v>11</v>
      </c>
      <c r="F169" s="18">
        <v>44988</v>
      </c>
      <c r="G169">
        <v>68</v>
      </c>
      <c r="H169">
        <v>3</v>
      </c>
      <c r="I169">
        <f>IF(MONTH(calls[[#This Row],[Date of Call]])&lt;=6, YEAR(calls[[#This Row],[Date of Call]]), YEAR(calls[[#This Row],[Date of Call]])+1)</f>
        <v>2023</v>
      </c>
      <c r="J169" t="str">
        <f>TEXT(calls[[#This Row],[Date of Call]],"DDDD")</f>
        <v>Friday</v>
      </c>
      <c r="K169" t="str" cm="1">
        <f t="array" ref="K1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9">
        <f>ROUND(calls[[#This Row],[Satisfaction Rating]],0)</f>
        <v>3</v>
      </c>
    </row>
    <row r="170" spans="2:12">
      <c r="B170" t="s">
        <v>192</v>
      </c>
      <c r="C170" t="s">
        <v>23</v>
      </c>
      <c r="D170">
        <v>28</v>
      </c>
      <c r="E170" s="17" t="s">
        <v>6</v>
      </c>
      <c r="F170" s="18">
        <v>44988</v>
      </c>
      <c r="G170">
        <v>84</v>
      </c>
      <c r="H170">
        <v>3.2</v>
      </c>
      <c r="I170">
        <f>IF(MONTH(calls[[#This Row],[Date of Call]])&lt;=6, YEAR(calls[[#This Row],[Date of Call]]), YEAR(calls[[#This Row],[Date of Call]])+1)</f>
        <v>2023</v>
      </c>
      <c r="J170" t="str">
        <f>TEXT(calls[[#This Row],[Date of Call]],"DDDD")</f>
        <v>Friday</v>
      </c>
      <c r="K170" t="str" cm="1">
        <f t="array" ref="K17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70">
        <f>ROUND(calls[[#This Row],[Satisfaction Rating]],0)</f>
        <v>3</v>
      </c>
    </row>
    <row r="171" spans="2:12">
      <c r="B171" t="s">
        <v>193</v>
      </c>
      <c r="C171" t="s">
        <v>8</v>
      </c>
      <c r="D171">
        <v>139</v>
      </c>
      <c r="E171" s="17" t="s">
        <v>9</v>
      </c>
      <c r="F171" s="18">
        <v>44989</v>
      </c>
      <c r="G171">
        <v>88</v>
      </c>
      <c r="H171">
        <v>3.4</v>
      </c>
      <c r="I171">
        <f>IF(MONTH(calls[[#This Row],[Date of Call]])&lt;=6, YEAR(calls[[#This Row],[Date of Call]]), YEAR(calls[[#This Row],[Date of Call]])+1)</f>
        <v>2023</v>
      </c>
      <c r="J171" t="str">
        <f>TEXT(calls[[#This Row],[Date of Call]],"DDDD")</f>
        <v>Saturday</v>
      </c>
      <c r="K171" t="str" cm="1">
        <f t="array" ref="K1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71">
        <f>ROUND(calls[[#This Row],[Satisfaction Rating]],0)</f>
        <v>3</v>
      </c>
    </row>
    <row r="172" spans="2:12">
      <c r="B172" t="s">
        <v>194</v>
      </c>
      <c r="C172" t="s">
        <v>7</v>
      </c>
      <c r="D172">
        <v>82</v>
      </c>
      <c r="E172" s="17" t="s">
        <v>11</v>
      </c>
      <c r="F172" s="18">
        <v>44989</v>
      </c>
      <c r="G172">
        <v>93</v>
      </c>
      <c r="H172">
        <v>2.7</v>
      </c>
      <c r="I172">
        <f>IF(MONTH(calls[[#This Row],[Date of Call]])&lt;=6, YEAR(calls[[#This Row],[Date of Call]]), YEAR(calls[[#This Row],[Date of Call]])+1)</f>
        <v>2023</v>
      </c>
      <c r="J172" t="str">
        <f>TEXT(calls[[#This Row],[Date of Call]],"DDDD")</f>
        <v>Saturday</v>
      </c>
      <c r="K172" t="str" cm="1">
        <f t="array" ref="K1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2">
        <f>ROUND(calls[[#This Row],[Satisfaction Rating]],0)</f>
        <v>3</v>
      </c>
    </row>
    <row r="173" spans="2:12">
      <c r="B173" t="s">
        <v>195</v>
      </c>
      <c r="C173" t="s">
        <v>12</v>
      </c>
      <c r="D173">
        <v>101</v>
      </c>
      <c r="E173" s="17" t="s">
        <v>6</v>
      </c>
      <c r="F173" s="18">
        <v>44989</v>
      </c>
      <c r="G173">
        <v>128</v>
      </c>
      <c r="H173">
        <v>5</v>
      </c>
      <c r="I173">
        <f>IF(MONTH(calls[[#This Row],[Date of Call]])&lt;=6, YEAR(calls[[#This Row],[Date of Call]]), YEAR(calls[[#This Row],[Date of Call]])+1)</f>
        <v>2023</v>
      </c>
      <c r="J173" t="str">
        <f>TEXT(calls[[#This Row],[Date of Call]],"DDDD")</f>
        <v>Saturday</v>
      </c>
      <c r="K173" t="str" cm="1">
        <f t="array" ref="K1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3">
        <f>ROUND(calls[[#This Row],[Satisfaction Rating]],0)</f>
        <v>5</v>
      </c>
    </row>
    <row r="174" spans="2:12">
      <c r="B174" t="s">
        <v>196</v>
      </c>
      <c r="C174" t="s">
        <v>23</v>
      </c>
      <c r="D174">
        <v>75</v>
      </c>
      <c r="E174" s="17" t="s">
        <v>13</v>
      </c>
      <c r="F174" s="18">
        <v>44989</v>
      </c>
      <c r="G174">
        <v>40</v>
      </c>
      <c r="H174">
        <v>3.4</v>
      </c>
      <c r="I174">
        <f>IF(MONTH(calls[[#This Row],[Date of Call]])&lt;=6, YEAR(calls[[#This Row],[Date of Call]]), YEAR(calls[[#This Row],[Date of Call]])+1)</f>
        <v>2023</v>
      </c>
      <c r="J174" t="str">
        <f>TEXT(calls[[#This Row],[Date of Call]],"DDDD")</f>
        <v>Saturday</v>
      </c>
      <c r="K174" t="str" cm="1">
        <f t="array" ref="K1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4">
        <f>ROUND(calls[[#This Row],[Satisfaction Rating]],0)</f>
        <v>3</v>
      </c>
    </row>
    <row r="175" spans="2:12">
      <c r="B175" t="s">
        <v>197</v>
      </c>
      <c r="C175" t="s">
        <v>18</v>
      </c>
      <c r="D175">
        <v>40</v>
      </c>
      <c r="E175" s="17" t="s">
        <v>6</v>
      </c>
      <c r="F175" s="18">
        <v>44990</v>
      </c>
      <c r="G175">
        <v>92</v>
      </c>
      <c r="H175">
        <v>4.7</v>
      </c>
      <c r="I175">
        <f>IF(MONTH(calls[[#This Row],[Date of Call]])&lt;=6, YEAR(calls[[#This Row],[Date of Call]]), YEAR(calls[[#This Row],[Date of Call]])+1)</f>
        <v>2023</v>
      </c>
      <c r="J175" t="str">
        <f>TEXT(calls[[#This Row],[Date of Call]],"DDDD")</f>
        <v>Sunday</v>
      </c>
      <c r="K175" t="str" cm="1">
        <f t="array" ref="K17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75">
        <f>ROUND(calls[[#This Row],[Satisfaction Rating]],0)</f>
        <v>5</v>
      </c>
    </row>
    <row r="176" spans="2:12">
      <c r="B176" t="s">
        <v>198</v>
      </c>
      <c r="C176" t="s">
        <v>24</v>
      </c>
      <c r="D176">
        <v>86</v>
      </c>
      <c r="E176" s="17" t="s">
        <v>9</v>
      </c>
      <c r="F176" s="18">
        <v>44990</v>
      </c>
      <c r="G176">
        <v>27</v>
      </c>
      <c r="H176">
        <v>4.5</v>
      </c>
      <c r="I176">
        <f>IF(MONTH(calls[[#This Row],[Date of Call]])&lt;=6, YEAR(calls[[#This Row],[Date of Call]]), YEAR(calls[[#This Row],[Date of Call]])+1)</f>
        <v>2023</v>
      </c>
      <c r="J176" t="str">
        <f>TEXT(calls[[#This Row],[Date of Call]],"DDDD")</f>
        <v>Sunday</v>
      </c>
      <c r="K176" t="str" cm="1">
        <f t="array" ref="K1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6">
        <f>ROUND(calls[[#This Row],[Satisfaction Rating]],0)</f>
        <v>5</v>
      </c>
    </row>
    <row r="177" spans="2:12">
      <c r="B177" t="s">
        <v>199</v>
      </c>
      <c r="C177" t="s">
        <v>15</v>
      </c>
      <c r="D177">
        <v>131</v>
      </c>
      <c r="E177" s="17" t="s">
        <v>10</v>
      </c>
      <c r="F177" s="18">
        <v>44990</v>
      </c>
      <c r="G177">
        <v>140</v>
      </c>
      <c r="H177">
        <v>4.0999999999999996</v>
      </c>
      <c r="I177">
        <f>IF(MONTH(calls[[#This Row],[Date of Call]])&lt;=6, YEAR(calls[[#This Row],[Date of Call]]), YEAR(calls[[#This Row],[Date of Call]])+1)</f>
        <v>2023</v>
      </c>
      <c r="J177" t="str">
        <f>TEXT(calls[[#This Row],[Date of Call]],"DDDD")</f>
        <v>Sunday</v>
      </c>
      <c r="K177" t="str" cm="1">
        <f t="array" ref="K1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77">
        <f>ROUND(calls[[#This Row],[Satisfaction Rating]],0)</f>
        <v>4</v>
      </c>
    </row>
    <row r="178" spans="2:12">
      <c r="B178" t="s">
        <v>200</v>
      </c>
      <c r="C178" t="s">
        <v>16</v>
      </c>
      <c r="D178">
        <v>67</v>
      </c>
      <c r="E178" s="17" t="s">
        <v>11</v>
      </c>
      <c r="F178" s="18">
        <v>44990</v>
      </c>
      <c r="G178">
        <v>40</v>
      </c>
      <c r="H178">
        <v>5</v>
      </c>
      <c r="I178">
        <f>IF(MONTH(calls[[#This Row],[Date of Call]])&lt;=6, YEAR(calls[[#This Row],[Date of Call]]), YEAR(calls[[#This Row],[Date of Call]])+1)</f>
        <v>2023</v>
      </c>
      <c r="J178" t="str">
        <f>TEXT(calls[[#This Row],[Date of Call]],"DDDD")</f>
        <v>Sunday</v>
      </c>
      <c r="K178" t="str" cm="1">
        <f t="array" ref="K1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8">
        <f>ROUND(calls[[#This Row],[Satisfaction Rating]],0)</f>
        <v>5</v>
      </c>
    </row>
    <row r="179" spans="2:12">
      <c r="B179" t="s">
        <v>201</v>
      </c>
      <c r="C179" t="s">
        <v>5</v>
      </c>
      <c r="D179">
        <v>71</v>
      </c>
      <c r="E179" s="17" t="s">
        <v>6</v>
      </c>
      <c r="F179" s="18">
        <v>44990</v>
      </c>
      <c r="G179">
        <v>102</v>
      </c>
      <c r="H179">
        <v>4.7</v>
      </c>
      <c r="I179">
        <f>IF(MONTH(calls[[#This Row],[Date of Call]])&lt;=6, YEAR(calls[[#This Row],[Date of Call]]), YEAR(calls[[#This Row],[Date of Call]])+1)</f>
        <v>2023</v>
      </c>
      <c r="J179" t="str">
        <f>TEXT(calls[[#This Row],[Date of Call]],"DDDD")</f>
        <v>Sunday</v>
      </c>
      <c r="K179" t="str" cm="1">
        <f t="array" ref="K17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9">
        <f>ROUND(calls[[#This Row],[Satisfaction Rating]],0)</f>
        <v>5</v>
      </c>
    </row>
    <row r="180" spans="2:12">
      <c r="B180" t="s">
        <v>202</v>
      </c>
      <c r="C180" t="s">
        <v>15</v>
      </c>
      <c r="D180">
        <v>113</v>
      </c>
      <c r="E180" s="17" t="s">
        <v>10</v>
      </c>
      <c r="F180" s="18">
        <v>44990</v>
      </c>
      <c r="G180">
        <v>42</v>
      </c>
      <c r="H180">
        <v>4.2</v>
      </c>
      <c r="I180">
        <f>IF(MONTH(calls[[#This Row],[Date of Call]])&lt;=6, YEAR(calls[[#This Row],[Date of Call]]), YEAR(calls[[#This Row],[Date of Call]])+1)</f>
        <v>2023</v>
      </c>
      <c r="J180" t="str">
        <f>TEXT(calls[[#This Row],[Date of Call]],"DDDD")</f>
        <v>Sunday</v>
      </c>
      <c r="K180" t="str" cm="1">
        <f t="array" ref="K1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0">
        <f>ROUND(calls[[#This Row],[Satisfaction Rating]],0)</f>
        <v>4</v>
      </c>
    </row>
    <row r="181" spans="2:12">
      <c r="B181" t="s">
        <v>203</v>
      </c>
      <c r="C181" t="s">
        <v>7</v>
      </c>
      <c r="D181">
        <v>53</v>
      </c>
      <c r="E181" s="17" t="s">
        <v>9</v>
      </c>
      <c r="F181" s="18">
        <v>44991</v>
      </c>
      <c r="G181">
        <v>210</v>
      </c>
      <c r="H181">
        <v>3.9</v>
      </c>
      <c r="I181">
        <f>IF(MONTH(calls[[#This Row],[Date of Call]])&lt;=6, YEAR(calls[[#This Row],[Date of Call]]), YEAR(calls[[#This Row],[Date of Call]])+1)</f>
        <v>2023</v>
      </c>
      <c r="J181" t="str">
        <f>TEXT(calls[[#This Row],[Date of Call]],"DDDD")</f>
        <v>Monday</v>
      </c>
      <c r="K181" t="str" cm="1">
        <f t="array" ref="K18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81">
        <f>ROUND(calls[[#This Row],[Satisfaction Rating]],0)</f>
        <v>4</v>
      </c>
    </row>
    <row r="182" spans="2:12">
      <c r="B182" t="s">
        <v>204</v>
      </c>
      <c r="C182" t="s">
        <v>15</v>
      </c>
      <c r="D182">
        <v>153</v>
      </c>
      <c r="E182" s="17" t="s">
        <v>11</v>
      </c>
      <c r="F182" s="18">
        <v>44991</v>
      </c>
      <c r="G182">
        <v>34</v>
      </c>
      <c r="H182">
        <v>3</v>
      </c>
      <c r="I182">
        <f>IF(MONTH(calls[[#This Row],[Date of Call]])&lt;=6, YEAR(calls[[#This Row],[Date of Call]]), YEAR(calls[[#This Row],[Date of Call]])+1)</f>
        <v>2023</v>
      </c>
      <c r="J182" t="str">
        <f>TEXT(calls[[#This Row],[Date of Call]],"DDDD")</f>
        <v>Monday</v>
      </c>
      <c r="K182" t="str" cm="1">
        <f t="array" ref="K18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82">
        <f>ROUND(calls[[#This Row],[Satisfaction Rating]],0)</f>
        <v>3</v>
      </c>
    </row>
    <row r="183" spans="2:12">
      <c r="B183" t="s">
        <v>205</v>
      </c>
      <c r="C183" t="s">
        <v>16</v>
      </c>
      <c r="D183">
        <v>73</v>
      </c>
      <c r="E183" s="17" t="s">
        <v>13</v>
      </c>
      <c r="F183" s="18">
        <v>44991</v>
      </c>
      <c r="G183">
        <v>215</v>
      </c>
      <c r="H183">
        <v>3.6</v>
      </c>
      <c r="I183">
        <f>IF(MONTH(calls[[#This Row],[Date of Call]])&lt;=6, YEAR(calls[[#This Row],[Date of Call]]), YEAR(calls[[#This Row],[Date of Call]])+1)</f>
        <v>2023</v>
      </c>
      <c r="J183" t="str">
        <f>TEXT(calls[[#This Row],[Date of Call]],"DDDD")</f>
        <v>Monday</v>
      </c>
      <c r="K183" t="str" cm="1">
        <f t="array" ref="K1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3">
        <f>ROUND(calls[[#This Row],[Satisfaction Rating]],0)</f>
        <v>4</v>
      </c>
    </row>
    <row r="184" spans="2:12">
      <c r="B184" t="s">
        <v>206</v>
      </c>
      <c r="C184" t="s">
        <v>22</v>
      </c>
      <c r="D184">
        <v>62</v>
      </c>
      <c r="E184" s="17" t="s">
        <v>13</v>
      </c>
      <c r="F184" s="18">
        <v>44991</v>
      </c>
      <c r="G184">
        <v>32</v>
      </c>
      <c r="H184">
        <v>0.7</v>
      </c>
      <c r="I184">
        <f>IF(MONTH(calls[[#This Row],[Date of Call]])&lt;=6, YEAR(calls[[#This Row],[Date of Call]]), YEAR(calls[[#This Row],[Date of Call]])+1)</f>
        <v>2023</v>
      </c>
      <c r="J184" t="str">
        <f>TEXT(calls[[#This Row],[Date of Call]],"DDDD")</f>
        <v>Monday</v>
      </c>
      <c r="K184" t="str" cm="1">
        <f t="array" ref="K1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4">
        <f>ROUND(calls[[#This Row],[Satisfaction Rating]],0)</f>
        <v>1</v>
      </c>
    </row>
    <row r="185" spans="2:12">
      <c r="B185" t="s">
        <v>207</v>
      </c>
      <c r="C185" t="s">
        <v>8</v>
      </c>
      <c r="D185">
        <v>115</v>
      </c>
      <c r="E185" s="17" t="s">
        <v>9</v>
      </c>
      <c r="F185" s="18">
        <v>44992</v>
      </c>
      <c r="G185">
        <v>48</v>
      </c>
      <c r="H185">
        <v>4.7</v>
      </c>
      <c r="I185">
        <f>IF(MONTH(calls[[#This Row],[Date of Call]])&lt;=6, YEAR(calls[[#This Row],[Date of Call]]), YEAR(calls[[#This Row],[Date of Call]])+1)</f>
        <v>2023</v>
      </c>
      <c r="J185" t="str">
        <f>TEXT(calls[[#This Row],[Date of Call]],"DDDD")</f>
        <v>Tuesday</v>
      </c>
      <c r="K185" t="str" cm="1">
        <f t="array" ref="K1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5">
        <f>ROUND(calls[[#This Row],[Satisfaction Rating]],0)</f>
        <v>5</v>
      </c>
    </row>
    <row r="186" spans="2:12">
      <c r="B186" t="s">
        <v>208</v>
      </c>
      <c r="C186" t="s">
        <v>15</v>
      </c>
      <c r="D186">
        <v>69</v>
      </c>
      <c r="E186" s="17" t="s">
        <v>9</v>
      </c>
      <c r="F186" s="18">
        <v>44992</v>
      </c>
      <c r="G186">
        <v>132</v>
      </c>
      <c r="H186">
        <v>4.5</v>
      </c>
      <c r="I186">
        <f>IF(MONTH(calls[[#This Row],[Date of Call]])&lt;=6, YEAR(calls[[#This Row],[Date of Call]]), YEAR(calls[[#This Row],[Date of Call]])+1)</f>
        <v>2023</v>
      </c>
      <c r="J186" t="str">
        <f>TEXT(calls[[#This Row],[Date of Call]],"DDDD")</f>
        <v>Tuesday</v>
      </c>
      <c r="K186" t="str" cm="1">
        <f t="array" ref="K1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6">
        <f>ROUND(calls[[#This Row],[Satisfaction Rating]],0)</f>
        <v>5</v>
      </c>
    </row>
    <row r="187" spans="2:12">
      <c r="B187" t="s">
        <v>209</v>
      </c>
      <c r="C187" t="s">
        <v>24</v>
      </c>
      <c r="D187">
        <v>103</v>
      </c>
      <c r="E187" s="17" t="s">
        <v>10</v>
      </c>
      <c r="F187" s="18">
        <v>44992</v>
      </c>
      <c r="G187">
        <v>172</v>
      </c>
      <c r="H187">
        <v>4.3</v>
      </c>
      <c r="I187">
        <f>IF(MONTH(calls[[#This Row],[Date of Call]])&lt;=6, YEAR(calls[[#This Row],[Date of Call]]), YEAR(calls[[#This Row],[Date of Call]])+1)</f>
        <v>2023</v>
      </c>
      <c r="J187" t="str">
        <f>TEXT(calls[[#This Row],[Date of Call]],"DDDD")</f>
        <v>Tuesday</v>
      </c>
      <c r="K187" t="str" cm="1">
        <f t="array" ref="K1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7">
        <f>ROUND(calls[[#This Row],[Satisfaction Rating]],0)</f>
        <v>4</v>
      </c>
    </row>
    <row r="188" spans="2:12">
      <c r="B188" t="s">
        <v>210</v>
      </c>
      <c r="C188" t="s">
        <v>24</v>
      </c>
      <c r="D188">
        <v>75</v>
      </c>
      <c r="E188" s="17" t="s">
        <v>10</v>
      </c>
      <c r="F188" s="18">
        <v>44992</v>
      </c>
      <c r="G188">
        <v>111</v>
      </c>
      <c r="H188">
        <v>3.4</v>
      </c>
      <c r="I188">
        <f>IF(MONTH(calls[[#This Row],[Date of Call]])&lt;=6, YEAR(calls[[#This Row],[Date of Call]]), YEAR(calls[[#This Row],[Date of Call]])+1)</f>
        <v>2023</v>
      </c>
      <c r="J188" t="str">
        <f>TEXT(calls[[#This Row],[Date of Call]],"DDDD")</f>
        <v>Tuesday</v>
      </c>
      <c r="K188" t="str" cm="1">
        <f t="array" ref="K1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8">
        <f>ROUND(calls[[#This Row],[Satisfaction Rating]],0)</f>
        <v>3</v>
      </c>
    </row>
    <row r="189" spans="2:12">
      <c r="B189" t="s">
        <v>211</v>
      </c>
      <c r="C189" t="s">
        <v>14</v>
      </c>
      <c r="D189">
        <v>92</v>
      </c>
      <c r="E189" s="17" t="s">
        <v>10</v>
      </c>
      <c r="F189" s="18">
        <v>44992</v>
      </c>
      <c r="G189">
        <v>58</v>
      </c>
      <c r="H189">
        <v>3.6</v>
      </c>
      <c r="I189">
        <f>IF(MONTH(calls[[#This Row],[Date of Call]])&lt;=6, YEAR(calls[[#This Row],[Date of Call]]), YEAR(calls[[#This Row],[Date of Call]])+1)</f>
        <v>2023</v>
      </c>
      <c r="J189" t="str">
        <f>TEXT(calls[[#This Row],[Date of Call]],"DDDD")</f>
        <v>Tuesday</v>
      </c>
      <c r="K189" t="str" cm="1">
        <f t="array" ref="K1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9">
        <f>ROUND(calls[[#This Row],[Satisfaction Rating]],0)</f>
        <v>4</v>
      </c>
    </row>
    <row r="190" spans="2:12">
      <c r="B190" t="s">
        <v>212</v>
      </c>
      <c r="C190" t="s">
        <v>14</v>
      </c>
      <c r="D190">
        <v>41</v>
      </c>
      <c r="E190" s="17" t="s">
        <v>13</v>
      </c>
      <c r="F190" s="18">
        <v>44992</v>
      </c>
      <c r="G190">
        <v>68</v>
      </c>
      <c r="H190">
        <v>4</v>
      </c>
      <c r="I190">
        <f>IF(MONTH(calls[[#This Row],[Date of Call]])&lt;=6, YEAR(calls[[#This Row],[Date of Call]]), YEAR(calls[[#This Row],[Date of Call]])+1)</f>
        <v>2023</v>
      </c>
      <c r="J190" t="str">
        <f>TEXT(calls[[#This Row],[Date of Call]],"DDDD")</f>
        <v>Tuesday</v>
      </c>
      <c r="K190" t="str" cm="1">
        <f t="array" ref="K1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90">
        <f>ROUND(calls[[#This Row],[Satisfaction Rating]],0)</f>
        <v>4</v>
      </c>
    </row>
    <row r="191" spans="2:12">
      <c r="B191" t="s">
        <v>213</v>
      </c>
      <c r="C191" t="s">
        <v>24</v>
      </c>
      <c r="D191">
        <v>134</v>
      </c>
      <c r="E191" s="17" t="s">
        <v>11</v>
      </c>
      <c r="F191" s="18">
        <v>44992</v>
      </c>
      <c r="G191">
        <v>160</v>
      </c>
      <c r="H191">
        <v>4.5</v>
      </c>
      <c r="I191">
        <f>IF(MONTH(calls[[#This Row],[Date of Call]])&lt;=6, YEAR(calls[[#This Row],[Date of Call]]), YEAR(calls[[#This Row],[Date of Call]])+1)</f>
        <v>2023</v>
      </c>
      <c r="J191" t="str">
        <f>TEXT(calls[[#This Row],[Date of Call]],"DDDD")</f>
        <v>Tuesday</v>
      </c>
      <c r="K191" t="str" cm="1">
        <f t="array" ref="K19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91">
        <f>ROUND(calls[[#This Row],[Satisfaction Rating]],0)</f>
        <v>5</v>
      </c>
    </row>
    <row r="192" spans="2:12">
      <c r="B192" t="s">
        <v>214</v>
      </c>
      <c r="C192" t="s">
        <v>17</v>
      </c>
      <c r="D192">
        <v>80</v>
      </c>
      <c r="E192" s="17" t="s">
        <v>6</v>
      </c>
      <c r="F192" s="18">
        <v>44992</v>
      </c>
      <c r="G192">
        <v>45</v>
      </c>
      <c r="H192">
        <v>3</v>
      </c>
      <c r="I192">
        <f>IF(MONTH(calls[[#This Row],[Date of Call]])&lt;=6, YEAR(calls[[#This Row],[Date of Call]]), YEAR(calls[[#This Row],[Date of Call]])+1)</f>
        <v>2023</v>
      </c>
      <c r="J192" t="str">
        <f>TEXT(calls[[#This Row],[Date of Call]],"DDDD")</f>
        <v>Tuesday</v>
      </c>
      <c r="K192" t="str" cm="1">
        <f t="array" ref="K1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2">
        <f>ROUND(calls[[#This Row],[Satisfaction Rating]],0)</f>
        <v>3</v>
      </c>
    </row>
    <row r="193" spans="2:12">
      <c r="B193" t="s">
        <v>215</v>
      </c>
      <c r="C193" t="s">
        <v>5</v>
      </c>
      <c r="D193">
        <v>103</v>
      </c>
      <c r="E193" s="17" t="s">
        <v>9</v>
      </c>
      <c r="F193" s="18">
        <v>44993</v>
      </c>
      <c r="G193">
        <v>117</v>
      </c>
      <c r="H193">
        <v>3</v>
      </c>
      <c r="I193">
        <f>IF(MONTH(calls[[#This Row],[Date of Call]])&lt;=6, YEAR(calls[[#This Row],[Date of Call]]), YEAR(calls[[#This Row],[Date of Call]])+1)</f>
        <v>2023</v>
      </c>
      <c r="J193" t="str">
        <f>TEXT(calls[[#This Row],[Date of Call]],"DDDD")</f>
        <v>Wednesday</v>
      </c>
      <c r="K193" t="str" cm="1">
        <f t="array" ref="K1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3">
        <f>ROUND(calls[[#This Row],[Satisfaction Rating]],0)</f>
        <v>3</v>
      </c>
    </row>
    <row r="194" spans="2:12">
      <c r="B194" t="s">
        <v>216</v>
      </c>
      <c r="C194" t="s">
        <v>7</v>
      </c>
      <c r="D194">
        <v>20</v>
      </c>
      <c r="E194" s="17" t="s">
        <v>10</v>
      </c>
      <c r="F194" s="18">
        <v>44994</v>
      </c>
      <c r="G194">
        <v>22</v>
      </c>
      <c r="H194">
        <v>1.6</v>
      </c>
      <c r="I194">
        <f>IF(MONTH(calls[[#This Row],[Date of Call]])&lt;=6, YEAR(calls[[#This Row],[Date of Call]]), YEAR(calls[[#This Row],[Date of Call]])+1)</f>
        <v>2023</v>
      </c>
      <c r="J194" t="str">
        <f>TEXT(calls[[#This Row],[Date of Call]],"DDDD")</f>
        <v>Thursday</v>
      </c>
      <c r="K194" t="str" cm="1">
        <f t="array" ref="K194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94">
        <f>ROUND(calls[[#This Row],[Satisfaction Rating]],0)</f>
        <v>2</v>
      </c>
    </row>
    <row r="195" spans="2:12">
      <c r="B195" t="s">
        <v>217</v>
      </c>
      <c r="C195" t="s">
        <v>5</v>
      </c>
      <c r="D195">
        <v>75</v>
      </c>
      <c r="E195" s="17" t="s">
        <v>6</v>
      </c>
      <c r="F195" s="18">
        <v>44994</v>
      </c>
      <c r="G195">
        <v>195</v>
      </c>
      <c r="H195">
        <v>3</v>
      </c>
      <c r="I195">
        <f>IF(MONTH(calls[[#This Row],[Date of Call]])&lt;=6, YEAR(calls[[#This Row],[Date of Call]]), YEAR(calls[[#This Row],[Date of Call]])+1)</f>
        <v>2023</v>
      </c>
      <c r="J195" t="str">
        <f>TEXT(calls[[#This Row],[Date of Call]],"DDDD")</f>
        <v>Thursday</v>
      </c>
      <c r="K195" t="str" cm="1">
        <f t="array" ref="K1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5">
        <f>ROUND(calls[[#This Row],[Satisfaction Rating]],0)</f>
        <v>3</v>
      </c>
    </row>
    <row r="196" spans="2:12">
      <c r="B196" t="s">
        <v>218</v>
      </c>
      <c r="C196" t="s">
        <v>14</v>
      </c>
      <c r="D196">
        <v>80</v>
      </c>
      <c r="E196" s="17" t="s">
        <v>11</v>
      </c>
      <c r="F196" s="18">
        <v>44994</v>
      </c>
      <c r="G196">
        <v>168</v>
      </c>
      <c r="H196">
        <v>3.7</v>
      </c>
      <c r="I196">
        <f>IF(MONTH(calls[[#This Row],[Date of Call]])&lt;=6, YEAR(calls[[#This Row],[Date of Call]]), YEAR(calls[[#This Row],[Date of Call]])+1)</f>
        <v>2023</v>
      </c>
      <c r="J196" t="str">
        <f>TEXT(calls[[#This Row],[Date of Call]],"DDDD")</f>
        <v>Thursday</v>
      </c>
      <c r="K196" t="str" cm="1">
        <f t="array" ref="K1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6">
        <f>ROUND(calls[[#This Row],[Satisfaction Rating]],0)</f>
        <v>4</v>
      </c>
    </row>
    <row r="197" spans="2:12">
      <c r="B197" t="s">
        <v>219</v>
      </c>
      <c r="C197" t="s">
        <v>15</v>
      </c>
      <c r="D197">
        <v>85</v>
      </c>
      <c r="E197" s="17" t="s">
        <v>13</v>
      </c>
      <c r="F197" s="18">
        <v>44995</v>
      </c>
      <c r="G197">
        <v>46</v>
      </c>
      <c r="H197">
        <v>4.9000000000000004</v>
      </c>
      <c r="I197">
        <f>IF(MONTH(calls[[#This Row],[Date of Call]])&lt;=6, YEAR(calls[[#This Row],[Date of Call]]), YEAR(calls[[#This Row],[Date of Call]])+1)</f>
        <v>2023</v>
      </c>
      <c r="J197" t="str">
        <f>TEXT(calls[[#This Row],[Date of Call]],"DDDD")</f>
        <v>Friday</v>
      </c>
      <c r="K197" t="str" cm="1">
        <f t="array" ref="K1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7">
        <f>ROUND(calls[[#This Row],[Satisfaction Rating]],0)</f>
        <v>5</v>
      </c>
    </row>
    <row r="198" spans="2:12">
      <c r="B198" t="s">
        <v>220</v>
      </c>
      <c r="C198" t="s">
        <v>12</v>
      </c>
      <c r="D198">
        <v>155</v>
      </c>
      <c r="E198" s="17" t="s">
        <v>10</v>
      </c>
      <c r="F198" s="18">
        <v>44995</v>
      </c>
      <c r="G198">
        <v>164</v>
      </c>
      <c r="H198">
        <v>3.4</v>
      </c>
      <c r="I198">
        <f>IF(MONTH(calls[[#This Row],[Date of Call]])&lt;=6, YEAR(calls[[#This Row],[Date of Call]]), YEAR(calls[[#This Row],[Date of Call]])+1)</f>
        <v>2023</v>
      </c>
      <c r="J198" t="str">
        <f>TEXT(calls[[#This Row],[Date of Call]],"DDDD")</f>
        <v>Friday</v>
      </c>
      <c r="K198" t="str" cm="1">
        <f t="array" ref="K19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98">
        <f>ROUND(calls[[#This Row],[Satisfaction Rating]],0)</f>
        <v>3</v>
      </c>
    </row>
    <row r="199" spans="2:12">
      <c r="B199" t="s">
        <v>221</v>
      </c>
      <c r="C199" t="s">
        <v>15</v>
      </c>
      <c r="D199">
        <v>63</v>
      </c>
      <c r="E199" s="17" t="s">
        <v>13</v>
      </c>
      <c r="F199" s="18">
        <v>44995</v>
      </c>
      <c r="G199">
        <v>48</v>
      </c>
      <c r="H199">
        <v>5</v>
      </c>
      <c r="I199">
        <f>IF(MONTH(calls[[#This Row],[Date of Call]])&lt;=6, YEAR(calls[[#This Row],[Date of Call]]), YEAR(calls[[#This Row],[Date of Call]])+1)</f>
        <v>2023</v>
      </c>
      <c r="J199" t="str">
        <f>TEXT(calls[[#This Row],[Date of Call]],"DDDD")</f>
        <v>Friday</v>
      </c>
      <c r="K199" t="str" cm="1">
        <f t="array" ref="K1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9">
        <f>ROUND(calls[[#This Row],[Satisfaction Rating]],0)</f>
        <v>5</v>
      </c>
    </row>
    <row r="200" spans="2:12">
      <c r="B200" t="s">
        <v>222</v>
      </c>
      <c r="C200" t="s">
        <v>23</v>
      </c>
      <c r="D200">
        <v>105</v>
      </c>
      <c r="E200" s="17" t="s">
        <v>9</v>
      </c>
      <c r="F200" s="18">
        <v>44995</v>
      </c>
      <c r="G200">
        <v>96</v>
      </c>
      <c r="H200">
        <v>5</v>
      </c>
      <c r="I200">
        <f>IF(MONTH(calls[[#This Row],[Date of Call]])&lt;=6, YEAR(calls[[#This Row],[Date of Call]]), YEAR(calls[[#This Row],[Date of Call]])+1)</f>
        <v>2023</v>
      </c>
      <c r="J200" t="str">
        <f>TEXT(calls[[#This Row],[Date of Call]],"DDDD")</f>
        <v>Friday</v>
      </c>
      <c r="K200" t="str" cm="1">
        <f t="array" ref="K2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0">
        <f>ROUND(calls[[#This Row],[Satisfaction Rating]],0)</f>
        <v>5</v>
      </c>
    </row>
    <row r="201" spans="2:12">
      <c r="B201" t="s">
        <v>223</v>
      </c>
      <c r="C201" t="s">
        <v>15</v>
      </c>
      <c r="D201">
        <v>71</v>
      </c>
      <c r="E201" s="17" t="s">
        <v>13</v>
      </c>
      <c r="F201" s="18">
        <v>44995</v>
      </c>
      <c r="G201">
        <v>105</v>
      </c>
      <c r="H201">
        <v>4</v>
      </c>
      <c r="I201">
        <f>IF(MONTH(calls[[#This Row],[Date of Call]])&lt;=6, YEAR(calls[[#This Row],[Date of Call]]), YEAR(calls[[#This Row],[Date of Call]])+1)</f>
        <v>2023</v>
      </c>
      <c r="J201" t="str">
        <f>TEXT(calls[[#This Row],[Date of Call]],"DDDD")</f>
        <v>Friday</v>
      </c>
      <c r="K201" t="str" cm="1">
        <f t="array" ref="K2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1">
        <f>ROUND(calls[[#This Row],[Satisfaction Rating]],0)</f>
        <v>4</v>
      </c>
    </row>
    <row r="202" spans="2:12">
      <c r="B202" t="s">
        <v>224</v>
      </c>
      <c r="C202" t="s">
        <v>12</v>
      </c>
      <c r="D202">
        <v>100</v>
      </c>
      <c r="E202" s="17" t="s">
        <v>13</v>
      </c>
      <c r="F202" s="18">
        <v>44996</v>
      </c>
      <c r="G202">
        <v>44</v>
      </c>
      <c r="H202">
        <v>3.6</v>
      </c>
      <c r="I202">
        <f>IF(MONTH(calls[[#This Row],[Date of Call]])&lt;=6, YEAR(calls[[#This Row],[Date of Call]]), YEAR(calls[[#This Row],[Date of Call]])+1)</f>
        <v>2023</v>
      </c>
      <c r="J202" t="str">
        <f>TEXT(calls[[#This Row],[Date of Call]],"DDDD")</f>
        <v>Saturday</v>
      </c>
      <c r="K202" t="str" cm="1">
        <f t="array" ref="K2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2">
        <f>ROUND(calls[[#This Row],[Satisfaction Rating]],0)</f>
        <v>4</v>
      </c>
    </row>
    <row r="203" spans="2:12">
      <c r="B203" t="s">
        <v>225</v>
      </c>
      <c r="C203" t="s">
        <v>20</v>
      </c>
      <c r="D203">
        <v>93</v>
      </c>
      <c r="E203" s="17" t="s">
        <v>11</v>
      </c>
      <c r="F203" s="18">
        <v>44996</v>
      </c>
      <c r="G203">
        <v>132</v>
      </c>
      <c r="H203">
        <v>3.7</v>
      </c>
      <c r="I203">
        <f>IF(MONTH(calls[[#This Row],[Date of Call]])&lt;=6, YEAR(calls[[#This Row],[Date of Call]]), YEAR(calls[[#This Row],[Date of Call]])+1)</f>
        <v>2023</v>
      </c>
      <c r="J203" t="str">
        <f>TEXT(calls[[#This Row],[Date of Call]],"DDDD")</f>
        <v>Saturday</v>
      </c>
      <c r="K203" t="str" cm="1">
        <f t="array" ref="K2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3">
        <f>ROUND(calls[[#This Row],[Satisfaction Rating]],0)</f>
        <v>4</v>
      </c>
    </row>
    <row r="204" spans="2:12">
      <c r="B204" t="s">
        <v>226</v>
      </c>
      <c r="C204" t="s">
        <v>23</v>
      </c>
      <c r="D204">
        <v>84</v>
      </c>
      <c r="E204" s="17" t="s">
        <v>10</v>
      </c>
      <c r="F204" s="18">
        <v>44996</v>
      </c>
      <c r="G204">
        <v>54</v>
      </c>
      <c r="H204">
        <v>4.2</v>
      </c>
      <c r="I204">
        <f>IF(MONTH(calls[[#This Row],[Date of Call]])&lt;=6, YEAR(calls[[#This Row],[Date of Call]]), YEAR(calls[[#This Row],[Date of Call]])+1)</f>
        <v>2023</v>
      </c>
      <c r="J204" t="str">
        <f>TEXT(calls[[#This Row],[Date of Call]],"DDDD")</f>
        <v>Saturday</v>
      </c>
      <c r="K204" t="str" cm="1">
        <f t="array" ref="K2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4">
        <f>ROUND(calls[[#This Row],[Satisfaction Rating]],0)</f>
        <v>4</v>
      </c>
    </row>
    <row r="205" spans="2:12">
      <c r="B205" t="s">
        <v>227</v>
      </c>
      <c r="C205" t="s">
        <v>17</v>
      </c>
      <c r="D205">
        <v>56</v>
      </c>
      <c r="E205" s="17" t="s">
        <v>6</v>
      </c>
      <c r="F205" s="18">
        <v>44996</v>
      </c>
      <c r="G205">
        <v>129</v>
      </c>
      <c r="H205">
        <v>2.1</v>
      </c>
      <c r="I205">
        <f>IF(MONTH(calls[[#This Row],[Date of Call]])&lt;=6, YEAR(calls[[#This Row],[Date of Call]]), YEAR(calls[[#This Row],[Date of Call]])+1)</f>
        <v>2023</v>
      </c>
      <c r="J205" t="str">
        <f>TEXT(calls[[#This Row],[Date of Call]],"DDDD")</f>
        <v>Saturday</v>
      </c>
      <c r="K205" t="str" cm="1">
        <f t="array" ref="K20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05">
        <f>ROUND(calls[[#This Row],[Satisfaction Rating]],0)</f>
        <v>2</v>
      </c>
    </row>
    <row r="206" spans="2:12">
      <c r="B206" t="s">
        <v>228</v>
      </c>
      <c r="C206" t="s">
        <v>17</v>
      </c>
      <c r="D206">
        <v>63</v>
      </c>
      <c r="E206" s="17" t="s">
        <v>13</v>
      </c>
      <c r="F206" s="18">
        <v>44996</v>
      </c>
      <c r="G206">
        <v>42</v>
      </c>
      <c r="H206">
        <v>4</v>
      </c>
      <c r="I206">
        <f>IF(MONTH(calls[[#This Row],[Date of Call]])&lt;=6, YEAR(calls[[#This Row],[Date of Call]]), YEAR(calls[[#This Row],[Date of Call]])+1)</f>
        <v>2023</v>
      </c>
      <c r="J206" t="str">
        <f>TEXT(calls[[#This Row],[Date of Call]],"DDDD")</f>
        <v>Saturday</v>
      </c>
      <c r="K206" t="str" cm="1">
        <f t="array" ref="K2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6">
        <f>ROUND(calls[[#This Row],[Satisfaction Rating]],0)</f>
        <v>4</v>
      </c>
    </row>
    <row r="207" spans="2:12">
      <c r="B207" t="s">
        <v>229</v>
      </c>
      <c r="C207" t="s">
        <v>22</v>
      </c>
      <c r="D207">
        <v>83</v>
      </c>
      <c r="E207" s="17" t="s">
        <v>13</v>
      </c>
      <c r="F207" s="18">
        <v>44996</v>
      </c>
      <c r="G207">
        <v>42</v>
      </c>
      <c r="H207">
        <v>4.2</v>
      </c>
      <c r="I207">
        <f>IF(MONTH(calls[[#This Row],[Date of Call]])&lt;=6, YEAR(calls[[#This Row],[Date of Call]]), YEAR(calls[[#This Row],[Date of Call]])+1)</f>
        <v>2023</v>
      </c>
      <c r="J207" t="str">
        <f>TEXT(calls[[#This Row],[Date of Call]],"DDDD")</f>
        <v>Saturday</v>
      </c>
      <c r="K207" t="str" cm="1">
        <f t="array" ref="K2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7">
        <f>ROUND(calls[[#This Row],[Satisfaction Rating]],0)</f>
        <v>4</v>
      </c>
    </row>
    <row r="208" spans="2:12">
      <c r="B208" t="s">
        <v>230</v>
      </c>
      <c r="C208" t="s">
        <v>14</v>
      </c>
      <c r="D208">
        <v>134</v>
      </c>
      <c r="E208" s="17" t="s">
        <v>10</v>
      </c>
      <c r="F208" s="18">
        <v>44996</v>
      </c>
      <c r="G208">
        <v>180</v>
      </c>
      <c r="H208">
        <v>3.1</v>
      </c>
      <c r="I208">
        <f>IF(MONTH(calls[[#This Row],[Date of Call]])&lt;=6, YEAR(calls[[#This Row],[Date of Call]]), YEAR(calls[[#This Row],[Date of Call]])+1)</f>
        <v>2023</v>
      </c>
      <c r="J208" t="str">
        <f>TEXT(calls[[#This Row],[Date of Call]],"DDDD")</f>
        <v>Saturday</v>
      </c>
      <c r="K208" t="str" cm="1">
        <f t="array" ref="K20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08">
        <f>ROUND(calls[[#This Row],[Satisfaction Rating]],0)</f>
        <v>3</v>
      </c>
    </row>
    <row r="209" spans="2:12">
      <c r="B209" t="s">
        <v>231</v>
      </c>
      <c r="C209" t="s">
        <v>8</v>
      </c>
      <c r="D209">
        <v>73</v>
      </c>
      <c r="E209" s="17" t="s">
        <v>13</v>
      </c>
      <c r="F209" s="18">
        <v>44997</v>
      </c>
      <c r="G209">
        <v>34</v>
      </c>
      <c r="H209">
        <v>4.8</v>
      </c>
      <c r="I209">
        <f>IF(MONTH(calls[[#This Row],[Date of Call]])&lt;=6, YEAR(calls[[#This Row],[Date of Call]]), YEAR(calls[[#This Row],[Date of Call]])+1)</f>
        <v>2023</v>
      </c>
      <c r="J209" t="str">
        <f>TEXT(calls[[#This Row],[Date of Call]],"DDDD")</f>
        <v>Sunday</v>
      </c>
      <c r="K209" t="str" cm="1">
        <f t="array" ref="K2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9">
        <f>ROUND(calls[[#This Row],[Satisfaction Rating]],0)</f>
        <v>5</v>
      </c>
    </row>
    <row r="210" spans="2:12">
      <c r="B210" t="s">
        <v>232</v>
      </c>
      <c r="C210" t="s">
        <v>5</v>
      </c>
      <c r="D210">
        <v>6</v>
      </c>
      <c r="E210" s="17" t="s">
        <v>6</v>
      </c>
      <c r="F210" s="18">
        <v>44997</v>
      </c>
      <c r="G210">
        <v>29</v>
      </c>
      <c r="H210">
        <v>4.7</v>
      </c>
      <c r="I210">
        <f>IF(MONTH(calls[[#This Row],[Date of Call]])&lt;=6, YEAR(calls[[#This Row],[Date of Call]]), YEAR(calls[[#This Row],[Date of Call]])+1)</f>
        <v>2023</v>
      </c>
      <c r="J210" t="str">
        <f>TEXT(calls[[#This Row],[Date of Call]],"DDDD")</f>
        <v>Sunday</v>
      </c>
      <c r="K210" t="str" cm="1">
        <f t="array" ref="K210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210">
        <f>ROUND(calls[[#This Row],[Satisfaction Rating]],0)</f>
        <v>5</v>
      </c>
    </row>
    <row r="211" spans="2:12">
      <c r="B211" t="s">
        <v>233</v>
      </c>
      <c r="C211" t="s">
        <v>16</v>
      </c>
      <c r="D211">
        <v>46</v>
      </c>
      <c r="E211" s="17" t="s">
        <v>9</v>
      </c>
      <c r="F211" s="18">
        <v>44997</v>
      </c>
      <c r="G211">
        <v>165</v>
      </c>
      <c r="H211">
        <v>3.3</v>
      </c>
      <c r="I211">
        <f>IF(MONTH(calls[[#This Row],[Date of Call]])&lt;=6, YEAR(calls[[#This Row],[Date of Call]]), YEAR(calls[[#This Row],[Date of Call]])+1)</f>
        <v>2023</v>
      </c>
      <c r="J211" t="str">
        <f>TEXT(calls[[#This Row],[Date of Call]],"DDDD")</f>
        <v>Sunday</v>
      </c>
      <c r="K211" t="str" cm="1">
        <f t="array" ref="K21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11">
        <f>ROUND(calls[[#This Row],[Satisfaction Rating]],0)</f>
        <v>3</v>
      </c>
    </row>
    <row r="212" spans="2:12">
      <c r="B212" t="s">
        <v>234</v>
      </c>
      <c r="C212" t="s">
        <v>5</v>
      </c>
      <c r="D212">
        <v>121</v>
      </c>
      <c r="E212" s="17" t="s">
        <v>13</v>
      </c>
      <c r="F212" s="18">
        <v>44998</v>
      </c>
      <c r="G212">
        <v>32</v>
      </c>
      <c r="H212">
        <v>3.7</v>
      </c>
      <c r="I212">
        <f>IF(MONTH(calls[[#This Row],[Date of Call]])&lt;=6, YEAR(calls[[#This Row],[Date of Call]]), YEAR(calls[[#This Row],[Date of Call]])+1)</f>
        <v>2023</v>
      </c>
      <c r="J212" t="str">
        <f>TEXT(calls[[#This Row],[Date of Call]],"DDDD")</f>
        <v>Monday</v>
      </c>
      <c r="K212" t="str" cm="1">
        <f t="array" ref="K21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2">
        <f>ROUND(calls[[#This Row],[Satisfaction Rating]],0)</f>
        <v>4</v>
      </c>
    </row>
    <row r="213" spans="2:12">
      <c r="B213" t="s">
        <v>235</v>
      </c>
      <c r="C213" t="s">
        <v>17</v>
      </c>
      <c r="D213">
        <v>61</v>
      </c>
      <c r="E213" s="17" t="s">
        <v>11</v>
      </c>
      <c r="F213" s="18">
        <v>44998</v>
      </c>
      <c r="G213">
        <v>160</v>
      </c>
      <c r="H213">
        <v>4.9000000000000004</v>
      </c>
      <c r="I213">
        <f>IF(MONTH(calls[[#This Row],[Date of Call]])&lt;=6, YEAR(calls[[#This Row],[Date of Call]]), YEAR(calls[[#This Row],[Date of Call]])+1)</f>
        <v>2023</v>
      </c>
      <c r="J213" t="str">
        <f>TEXT(calls[[#This Row],[Date of Call]],"DDDD")</f>
        <v>Monday</v>
      </c>
      <c r="K213" t="str" cm="1">
        <f t="array" ref="K2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13">
        <f>ROUND(calls[[#This Row],[Satisfaction Rating]],0)</f>
        <v>5</v>
      </c>
    </row>
    <row r="214" spans="2:12">
      <c r="B214" t="s">
        <v>236</v>
      </c>
      <c r="C214" t="s">
        <v>14</v>
      </c>
      <c r="D214">
        <v>144</v>
      </c>
      <c r="E214" s="17" t="s">
        <v>10</v>
      </c>
      <c r="F214" s="18">
        <v>44998</v>
      </c>
      <c r="G214">
        <v>140</v>
      </c>
      <c r="H214">
        <v>3.5</v>
      </c>
      <c r="I214">
        <f>IF(MONTH(calls[[#This Row],[Date of Call]])&lt;=6, YEAR(calls[[#This Row],[Date of Call]]), YEAR(calls[[#This Row],[Date of Call]])+1)</f>
        <v>2023</v>
      </c>
      <c r="J214" t="str">
        <f>TEXT(calls[[#This Row],[Date of Call]],"DDDD")</f>
        <v>Monday</v>
      </c>
      <c r="K214" t="str" cm="1">
        <f t="array" ref="K2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4">
        <f>ROUND(calls[[#This Row],[Satisfaction Rating]],0)</f>
        <v>4</v>
      </c>
    </row>
    <row r="215" spans="2:12">
      <c r="B215" t="s">
        <v>237</v>
      </c>
      <c r="C215" t="s">
        <v>16</v>
      </c>
      <c r="D215">
        <v>145</v>
      </c>
      <c r="E215" s="17" t="s">
        <v>10</v>
      </c>
      <c r="F215" s="18">
        <v>44998</v>
      </c>
      <c r="G215">
        <v>136</v>
      </c>
      <c r="H215">
        <v>4.4000000000000004</v>
      </c>
      <c r="I215">
        <f>IF(MONTH(calls[[#This Row],[Date of Call]])&lt;=6, YEAR(calls[[#This Row],[Date of Call]]), YEAR(calls[[#This Row],[Date of Call]])+1)</f>
        <v>2023</v>
      </c>
      <c r="J215" t="str">
        <f>TEXT(calls[[#This Row],[Date of Call]],"DDDD")</f>
        <v>Monday</v>
      </c>
      <c r="K215" t="str" cm="1">
        <f t="array" ref="K21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5">
        <f>ROUND(calls[[#This Row],[Satisfaction Rating]],0)</f>
        <v>4</v>
      </c>
    </row>
    <row r="216" spans="2:12">
      <c r="B216" t="s">
        <v>238</v>
      </c>
      <c r="C216" t="s">
        <v>23</v>
      </c>
      <c r="D216">
        <v>85</v>
      </c>
      <c r="E216" s="17" t="s">
        <v>6</v>
      </c>
      <c r="F216" s="18">
        <v>44998</v>
      </c>
      <c r="G216">
        <v>66</v>
      </c>
      <c r="H216">
        <v>2.8</v>
      </c>
      <c r="I216">
        <f>IF(MONTH(calls[[#This Row],[Date of Call]])&lt;=6, YEAR(calls[[#This Row],[Date of Call]]), YEAR(calls[[#This Row],[Date of Call]])+1)</f>
        <v>2023</v>
      </c>
      <c r="J216" t="str">
        <f>TEXT(calls[[#This Row],[Date of Call]],"DDDD")</f>
        <v>Monday</v>
      </c>
      <c r="K216" t="str" cm="1">
        <f t="array" ref="K2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16">
        <f>ROUND(calls[[#This Row],[Satisfaction Rating]],0)</f>
        <v>3</v>
      </c>
    </row>
    <row r="217" spans="2:12">
      <c r="B217" t="s">
        <v>239</v>
      </c>
      <c r="C217" t="s">
        <v>16</v>
      </c>
      <c r="D217">
        <v>13</v>
      </c>
      <c r="E217" s="17" t="s">
        <v>11</v>
      </c>
      <c r="F217" s="18">
        <v>44999</v>
      </c>
      <c r="G217">
        <v>63</v>
      </c>
      <c r="H217">
        <v>4.0999999999999996</v>
      </c>
      <c r="I217">
        <f>IF(MONTH(calls[[#This Row],[Date of Call]])&lt;=6, YEAR(calls[[#This Row],[Date of Call]]), YEAR(calls[[#This Row],[Date of Call]])+1)</f>
        <v>2023</v>
      </c>
      <c r="J217" t="str">
        <f>TEXT(calls[[#This Row],[Date of Call]],"DDDD")</f>
        <v>Tuesday</v>
      </c>
      <c r="K217" t="str" cm="1">
        <f t="array" ref="K21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17">
        <f>ROUND(calls[[#This Row],[Satisfaction Rating]],0)</f>
        <v>4</v>
      </c>
    </row>
    <row r="218" spans="2:12">
      <c r="B218" t="s">
        <v>240</v>
      </c>
      <c r="C218" t="s">
        <v>20</v>
      </c>
      <c r="D218">
        <v>142</v>
      </c>
      <c r="E218" s="17" t="s">
        <v>13</v>
      </c>
      <c r="F218" s="18">
        <v>44999</v>
      </c>
      <c r="G218">
        <v>44</v>
      </c>
      <c r="H218">
        <v>3.5</v>
      </c>
      <c r="I218">
        <f>IF(MONTH(calls[[#This Row],[Date of Call]])&lt;=6, YEAR(calls[[#This Row],[Date of Call]]), YEAR(calls[[#This Row],[Date of Call]])+1)</f>
        <v>2023</v>
      </c>
      <c r="J218" t="str">
        <f>TEXT(calls[[#This Row],[Date of Call]],"DDDD")</f>
        <v>Tuesday</v>
      </c>
      <c r="K218" t="str" cm="1">
        <f t="array" ref="K21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8">
        <f>ROUND(calls[[#This Row],[Satisfaction Rating]],0)</f>
        <v>4</v>
      </c>
    </row>
    <row r="219" spans="2:12">
      <c r="B219" t="s">
        <v>241</v>
      </c>
      <c r="C219" t="s">
        <v>14</v>
      </c>
      <c r="D219">
        <v>28</v>
      </c>
      <c r="E219" s="17" t="s">
        <v>9</v>
      </c>
      <c r="F219" s="18">
        <v>44999</v>
      </c>
      <c r="G219">
        <v>78</v>
      </c>
      <c r="H219">
        <v>3.8</v>
      </c>
      <c r="I219">
        <f>IF(MONTH(calls[[#This Row],[Date of Call]])&lt;=6, YEAR(calls[[#This Row],[Date of Call]]), YEAR(calls[[#This Row],[Date of Call]])+1)</f>
        <v>2023</v>
      </c>
      <c r="J219" t="str">
        <f>TEXT(calls[[#This Row],[Date of Call]],"DDDD")</f>
        <v>Tuesday</v>
      </c>
      <c r="K219" t="str" cm="1">
        <f t="array" ref="K21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19">
        <f>ROUND(calls[[#This Row],[Satisfaction Rating]],0)</f>
        <v>4</v>
      </c>
    </row>
    <row r="220" spans="2:12">
      <c r="B220" t="s">
        <v>242</v>
      </c>
      <c r="C220" t="s">
        <v>14</v>
      </c>
      <c r="D220">
        <v>119</v>
      </c>
      <c r="E220" s="17" t="s">
        <v>13</v>
      </c>
      <c r="F220" s="18">
        <v>44999</v>
      </c>
      <c r="G220">
        <v>20</v>
      </c>
      <c r="H220">
        <v>3.9</v>
      </c>
      <c r="I220">
        <f>IF(MONTH(calls[[#This Row],[Date of Call]])&lt;=6, YEAR(calls[[#This Row],[Date of Call]]), YEAR(calls[[#This Row],[Date of Call]])+1)</f>
        <v>2023</v>
      </c>
      <c r="J220" t="str">
        <f>TEXT(calls[[#This Row],[Date of Call]],"DDDD")</f>
        <v>Tuesday</v>
      </c>
      <c r="K220" t="str" cm="1">
        <f t="array" ref="K2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0">
        <f>ROUND(calls[[#This Row],[Satisfaction Rating]],0)</f>
        <v>4</v>
      </c>
    </row>
    <row r="221" spans="2:12">
      <c r="B221" t="s">
        <v>243</v>
      </c>
      <c r="C221" t="s">
        <v>5</v>
      </c>
      <c r="D221">
        <v>65</v>
      </c>
      <c r="E221" s="17" t="s">
        <v>6</v>
      </c>
      <c r="F221" s="18">
        <v>44999</v>
      </c>
      <c r="G221">
        <v>84</v>
      </c>
      <c r="H221">
        <v>2.5</v>
      </c>
      <c r="I221">
        <f>IF(MONTH(calls[[#This Row],[Date of Call]])&lt;=6, YEAR(calls[[#This Row],[Date of Call]]), YEAR(calls[[#This Row],[Date of Call]])+1)</f>
        <v>2023</v>
      </c>
      <c r="J221" t="str">
        <f>TEXT(calls[[#This Row],[Date of Call]],"DDDD")</f>
        <v>Tuesday</v>
      </c>
      <c r="K221" t="str" cm="1">
        <f t="array" ref="K2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1">
        <f>ROUND(calls[[#This Row],[Satisfaction Rating]],0)</f>
        <v>3</v>
      </c>
    </row>
    <row r="222" spans="2:12">
      <c r="B222" t="s">
        <v>244</v>
      </c>
      <c r="C222" t="s">
        <v>24</v>
      </c>
      <c r="D222">
        <v>68</v>
      </c>
      <c r="E222" s="17" t="s">
        <v>6</v>
      </c>
      <c r="F222" s="18">
        <v>44999</v>
      </c>
      <c r="G222">
        <v>32</v>
      </c>
      <c r="H222">
        <v>4.9000000000000004</v>
      </c>
      <c r="I222">
        <f>IF(MONTH(calls[[#This Row],[Date of Call]])&lt;=6, YEAR(calls[[#This Row],[Date of Call]]), YEAR(calls[[#This Row],[Date of Call]])+1)</f>
        <v>2023</v>
      </c>
      <c r="J222" t="str">
        <f>TEXT(calls[[#This Row],[Date of Call]],"DDDD")</f>
        <v>Tuesday</v>
      </c>
      <c r="K222" t="str" cm="1">
        <f t="array" ref="K2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2">
        <f>ROUND(calls[[#This Row],[Satisfaction Rating]],0)</f>
        <v>5</v>
      </c>
    </row>
    <row r="223" spans="2:12">
      <c r="B223" t="s">
        <v>245</v>
      </c>
      <c r="C223" t="s">
        <v>22</v>
      </c>
      <c r="D223">
        <v>72</v>
      </c>
      <c r="E223" s="17" t="s">
        <v>9</v>
      </c>
      <c r="F223" s="18">
        <v>44999</v>
      </c>
      <c r="G223">
        <v>132</v>
      </c>
      <c r="H223">
        <v>3.4</v>
      </c>
      <c r="I223">
        <f>IF(MONTH(calls[[#This Row],[Date of Call]])&lt;=6, YEAR(calls[[#This Row],[Date of Call]]), YEAR(calls[[#This Row],[Date of Call]])+1)</f>
        <v>2023</v>
      </c>
      <c r="J223" t="str">
        <f>TEXT(calls[[#This Row],[Date of Call]],"DDDD")</f>
        <v>Tuesday</v>
      </c>
      <c r="K223" t="str" cm="1">
        <f t="array" ref="K2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3">
        <f>ROUND(calls[[#This Row],[Satisfaction Rating]],0)</f>
        <v>3</v>
      </c>
    </row>
    <row r="224" spans="2:12">
      <c r="B224" t="s">
        <v>246</v>
      </c>
      <c r="C224" t="s">
        <v>22</v>
      </c>
      <c r="D224">
        <v>63</v>
      </c>
      <c r="E224" s="17" t="s">
        <v>10</v>
      </c>
      <c r="F224" s="18">
        <v>44999</v>
      </c>
      <c r="G224">
        <v>105</v>
      </c>
      <c r="H224">
        <v>3.3</v>
      </c>
      <c r="I224">
        <f>IF(MONTH(calls[[#This Row],[Date of Call]])&lt;=6, YEAR(calls[[#This Row],[Date of Call]]), YEAR(calls[[#This Row],[Date of Call]])+1)</f>
        <v>2023</v>
      </c>
      <c r="J224" t="str">
        <f>TEXT(calls[[#This Row],[Date of Call]],"DDDD")</f>
        <v>Tuesday</v>
      </c>
      <c r="K224" t="str" cm="1">
        <f t="array" ref="K22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4">
        <f>ROUND(calls[[#This Row],[Satisfaction Rating]],0)</f>
        <v>3</v>
      </c>
    </row>
    <row r="225" spans="2:12">
      <c r="B225" t="s">
        <v>247</v>
      </c>
      <c r="C225" t="s">
        <v>12</v>
      </c>
      <c r="D225">
        <v>139</v>
      </c>
      <c r="E225" s="17" t="s">
        <v>13</v>
      </c>
      <c r="F225" s="18">
        <v>45000</v>
      </c>
      <c r="G225">
        <v>48</v>
      </c>
      <c r="H225">
        <v>4.7</v>
      </c>
      <c r="I225">
        <f>IF(MONTH(calls[[#This Row],[Date of Call]])&lt;=6, YEAR(calls[[#This Row],[Date of Call]]), YEAR(calls[[#This Row],[Date of Call]])+1)</f>
        <v>2023</v>
      </c>
      <c r="J225" t="str">
        <f>TEXT(calls[[#This Row],[Date of Call]],"DDDD")</f>
        <v>Wednesday</v>
      </c>
      <c r="K225" t="str" cm="1">
        <f t="array" ref="K22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25">
        <f>ROUND(calls[[#This Row],[Satisfaction Rating]],0)</f>
        <v>5</v>
      </c>
    </row>
    <row r="226" spans="2:12">
      <c r="B226" t="s">
        <v>248</v>
      </c>
      <c r="C226" t="s">
        <v>14</v>
      </c>
      <c r="D226">
        <v>59</v>
      </c>
      <c r="E226" s="17" t="s">
        <v>13</v>
      </c>
      <c r="F226" s="18">
        <v>45000</v>
      </c>
      <c r="G226">
        <v>64</v>
      </c>
      <c r="H226">
        <v>4</v>
      </c>
      <c r="I226">
        <f>IF(MONTH(calls[[#This Row],[Date of Call]])&lt;=6, YEAR(calls[[#This Row],[Date of Call]]), YEAR(calls[[#This Row],[Date of Call]])+1)</f>
        <v>2023</v>
      </c>
      <c r="J226" t="str">
        <f>TEXT(calls[[#This Row],[Date of Call]],"DDDD")</f>
        <v>Wednesday</v>
      </c>
      <c r="K226" t="str" cm="1">
        <f t="array" ref="K22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26">
        <f>ROUND(calls[[#This Row],[Satisfaction Rating]],0)</f>
        <v>4</v>
      </c>
    </row>
    <row r="227" spans="2:12">
      <c r="B227" t="s">
        <v>249</v>
      </c>
      <c r="C227" t="s">
        <v>7</v>
      </c>
      <c r="D227">
        <v>138</v>
      </c>
      <c r="E227" s="17" t="s">
        <v>10</v>
      </c>
      <c r="F227" s="18">
        <v>45000</v>
      </c>
      <c r="G227">
        <v>44</v>
      </c>
      <c r="H227">
        <v>3.8</v>
      </c>
      <c r="I227">
        <f>IF(MONTH(calls[[#This Row],[Date of Call]])&lt;=6, YEAR(calls[[#This Row],[Date of Call]]), YEAR(calls[[#This Row],[Date of Call]])+1)</f>
        <v>2023</v>
      </c>
      <c r="J227" t="str">
        <f>TEXT(calls[[#This Row],[Date of Call]],"DDDD")</f>
        <v>Wednesday</v>
      </c>
      <c r="K227" t="str" cm="1">
        <f t="array" ref="K2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27">
        <f>ROUND(calls[[#This Row],[Satisfaction Rating]],0)</f>
        <v>4</v>
      </c>
    </row>
    <row r="228" spans="2:12">
      <c r="B228" t="s">
        <v>250</v>
      </c>
      <c r="C228" t="s">
        <v>12</v>
      </c>
      <c r="D228">
        <v>47</v>
      </c>
      <c r="E228" s="17" t="s">
        <v>9</v>
      </c>
      <c r="F228" s="18">
        <v>45000</v>
      </c>
      <c r="G228">
        <v>120</v>
      </c>
      <c r="H228">
        <v>3.1</v>
      </c>
      <c r="I228">
        <f>IF(MONTH(calls[[#This Row],[Date of Call]])&lt;=6, YEAR(calls[[#This Row],[Date of Call]]), YEAR(calls[[#This Row],[Date of Call]])+1)</f>
        <v>2023</v>
      </c>
      <c r="J228" t="str">
        <f>TEXT(calls[[#This Row],[Date of Call]],"DDDD")</f>
        <v>Wednesday</v>
      </c>
      <c r="K228" t="str" cm="1">
        <f t="array" ref="K22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28">
        <f>ROUND(calls[[#This Row],[Satisfaction Rating]],0)</f>
        <v>3</v>
      </c>
    </row>
    <row r="229" spans="2:12">
      <c r="B229" t="s">
        <v>251</v>
      </c>
      <c r="C229" t="s">
        <v>7</v>
      </c>
      <c r="D229">
        <v>74</v>
      </c>
      <c r="E229" s="17" t="s">
        <v>9</v>
      </c>
      <c r="F229" s="18">
        <v>45000</v>
      </c>
      <c r="G229">
        <v>144</v>
      </c>
      <c r="H229">
        <v>4.8</v>
      </c>
      <c r="I229">
        <f>IF(MONTH(calls[[#This Row],[Date of Call]])&lt;=6, YEAR(calls[[#This Row],[Date of Call]]), YEAR(calls[[#This Row],[Date of Call]])+1)</f>
        <v>2023</v>
      </c>
      <c r="J229" t="str">
        <f>TEXT(calls[[#This Row],[Date of Call]],"DDDD")</f>
        <v>Wednesday</v>
      </c>
      <c r="K229" t="str" cm="1">
        <f t="array" ref="K2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9">
        <f>ROUND(calls[[#This Row],[Satisfaction Rating]],0)</f>
        <v>5</v>
      </c>
    </row>
    <row r="230" spans="2:12">
      <c r="B230" t="s">
        <v>252</v>
      </c>
      <c r="C230" t="s">
        <v>22</v>
      </c>
      <c r="D230">
        <v>65</v>
      </c>
      <c r="E230" s="17" t="s">
        <v>9</v>
      </c>
      <c r="F230" s="18">
        <v>45000</v>
      </c>
      <c r="G230">
        <v>87</v>
      </c>
      <c r="H230">
        <v>2.7</v>
      </c>
      <c r="I230">
        <f>IF(MONTH(calls[[#This Row],[Date of Call]])&lt;=6, YEAR(calls[[#This Row],[Date of Call]]), YEAR(calls[[#This Row],[Date of Call]])+1)</f>
        <v>2023</v>
      </c>
      <c r="J230" t="str">
        <f>TEXT(calls[[#This Row],[Date of Call]],"DDDD")</f>
        <v>Wednesday</v>
      </c>
      <c r="K230" t="str" cm="1">
        <f t="array" ref="K2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0">
        <f>ROUND(calls[[#This Row],[Satisfaction Rating]],0)</f>
        <v>3</v>
      </c>
    </row>
    <row r="231" spans="2:12">
      <c r="B231" t="s">
        <v>253</v>
      </c>
      <c r="C231" t="s">
        <v>8</v>
      </c>
      <c r="D231">
        <v>123</v>
      </c>
      <c r="E231" s="17" t="s">
        <v>6</v>
      </c>
      <c r="F231" s="18">
        <v>45000</v>
      </c>
      <c r="G231">
        <v>36</v>
      </c>
      <c r="H231">
        <v>3.6</v>
      </c>
      <c r="I231">
        <f>IF(MONTH(calls[[#This Row],[Date of Call]])&lt;=6, YEAR(calls[[#This Row],[Date of Call]]), YEAR(calls[[#This Row],[Date of Call]])+1)</f>
        <v>2023</v>
      </c>
      <c r="J231" t="str">
        <f>TEXT(calls[[#This Row],[Date of Call]],"DDDD")</f>
        <v>Wednesday</v>
      </c>
      <c r="K231" t="str" cm="1">
        <f t="array" ref="K23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31">
        <f>ROUND(calls[[#This Row],[Satisfaction Rating]],0)</f>
        <v>4</v>
      </c>
    </row>
    <row r="232" spans="2:12">
      <c r="B232" t="s">
        <v>254</v>
      </c>
      <c r="C232" t="s">
        <v>22</v>
      </c>
      <c r="D232">
        <v>90</v>
      </c>
      <c r="E232" s="17" t="s">
        <v>13</v>
      </c>
      <c r="F232" s="18">
        <v>45001</v>
      </c>
      <c r="G232">
        <v>72</v>
      </c>
      <c r="H232">
        <v>4.7</v>
      </c>
      <c r="I232">
        <f>IF(MONTH(calls[[#This Row],[Date of Call]])&lt;=6, YEAR(calls[[#This Row],[Date of Call]]), YEAR(calls[[#This Row],[Date of Call]])+1)</f>
        <v>2023</v>
      </c>
      <c r="J232" t="str">
        <f>TEXT(calls[[#This Row],[Date of Call]],"DDDD")</f>
        <v>Thursday</v>
      </c>
      <c r="K232" t="str" cm="1">
        <f t="array" ref="K23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2">
        <f>ROUND(calls[[#This Row],[Satisfaction Rating]],0)</f>
        <v>5</v>
      </c>
    </row>
    <row r="233" spans="2:12">
      <c r="B233" t="s">
        <v>255</v>
      </c>
      <c r="C233" t="s">
        <v>17</v>
      </c>
      <c r="D233">
        <v>127</v>
      </c>
      <c r="E233" s="17" t="s">
        <v>10</v>
      </c>
      <c r="F233" s="18">
        <v>45001</v>
      </c>
      <c r="G233">
        <v>150</v>
      </c>
      <c r="H233">
        <v>4.4000000000000004</v>
      </c>
      <c r="I233">
        <f>IF(MONTH(calls[[#This Row],[Date of Call]])&lt;=6, YEAR(calls[[#This Row],[Date of Call]]), YEAR(calls[[#This Row],[Date of Call]])+1)</f>
        <v>2023</v>
      </c>
      <c r="J233" t="str">
        <f>TEXT(calls[[#This Row],[Date of Call]],"DDDD")</f>
        <v>Thursday</v>
      </c>
      <c r="K233" t="str" cm="1">
        <f t="array" ref="K2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33">
        <f>ROUND(calls[[#This Row],[Satisfaction Rating]],0)</f>
        <v>4</v>
      </c>
    </row>
    <row r="234" spans="2:12">
      <c r="B234" t="s">
        <v>256</v>
      </c>
      <c r="C234" t="s">
        <v>21</v>
      </c>
      <c r="D234">
        <v>60</v>
      </c>
      <c r="E234" s="17" t="s">
        <v>9</v>
      </c>
      <c r="F234" s="18">
        <v>45001</v>
      </c>
      <c r="G234">
        <v>68</v>
      </c>
      <c r="H234">
        <v>4.3</v>
      </c>
      <c r="I234">
        <f>IF(MONTH(calls[[#This Row],[Date of Call]])&lt;=6, YEAR(calls[[#This Row],[Date of Call]]), YEAR(calls[[#This Row],[Date of Call]])+1)</f>
        <v>2023</v>
      </c>
      <c r="J234" t="str">
        <f>TEXT(calls[[#This Row],[Date of Call]],"DDDD")</f>
        <v>Thursday</v>
      </c>
      <c r="K234" t="str" cm="1">
        <f t="array" ref="K23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34">
        <f>ROUND(calls[[#This Row],[Satisfaction Rating]],0)</f>
        <v>4</v>
      </c>
    </row>
    <row r="235" spans="2:12">
      <c r="B235" t="s">
        <v>257</v>
      </c>
      <c r="C235" t="s">
        <v>12</v>
      </c>
      <c r="D235">
        <v>94</v>
      </c>
      <c r="E235" s="17" t="s">
        <v>10</v>
      </c>
      <c r="F235" s="18">
        <v>45001</v>
      </c>
      <c r="G235">
        <v>99</v>
      </c>
      <c r="H235">
        <v>4.9000000000000004</v>
      </c>
      <c r="I235">
        <f>IF(MONTH(calls[[#This Row],[Date of Call]])&lt;=6, YEAR(calls[[#This Row],[Date of Call]]), YEAR(calls[[#This Row],[Date of Call]])+1)</f>
        <v>2023</v>
      </c>
      <c r="J235" t="str">
        <f>TEXT(calls[[#This Row],[Date of Call]],"DDDD")</f>
        <v>Thursday</v>
      </c>
      <c r="K235" t="str" cm="1">
        <f t="array" ref="K2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5">
        <f>ROUND(calls[[#This Row],[Satisfaction Rating]],0)</f>
        <v>5</v>
      </c>
    </row>
    <row r="236" spans="2:12">
      <c r="B236" t="s">
        <v>258</v>
      </c>
      <c r="C236" t="s">
        <v>8</v>
      </c>
      <c r="D236">
        <v>54</v>
      </c>
      <c r="E236" s="17" t="s">
        <v>9</v>
      </c>
      <c r="F236" s="18">
        <v>45001</v>
      </c>
      <c r="G236">
        <v>26</v>
      </c>
      <c r="H236">
        <v>4.8</v>
      </c>
      <c r="I236">
        <f>IF(MONTH(calls[[#This Row],[Date of Call]])&lt;=6, YEAR(calls[[#This Row],[Date of Call]]), YEAR(calls[[#This Row],[Date of Call]])+1)</f>
        <v>2023</v>
      </c>
      <c r="J236" t="str">
        <f>TEXT(calls[[#This Row],[Date of Call]],"DDDD")</f>
        <v>Thursday</v>
      </c>
      <c r="K236" t="str" cm="1">
        <f t="array" ref="K23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36">
        <f>ROUND(calls[[#This Row],[Satisfaction Rating]],0)</f>
        <v>5</v>
      </c>
    </row>
    <row r="237" spans="2:12">
      <c r="B237" t="s">
        <v>259</v>
      </c>
      <c r="C237" t="s">
        <v>22</v>
      </c>
      <c r="D237">
        <v>104</v>
      </c>
      <c r="E237" s="17" t="s">
        <v>9</v>
      </c>
      <c r="F237" s="18">
        <v>45001</v>
      </c>
      <c r="G237">
        <v>88</v>
      </c>
      <c r="H237">
        <v>3.2</v>
      </c>
      <c r="I237">
        <f>IF(MONTH(calls[[#This Row],[Date of Call]])&lt;=6, YEAR(calls[[#This Row],[Date of Call]]), YEAR(calls[[#This Row],[Date of Call]])+1)</f>
        <v>2023</v>
      </c>
      <c r="J237" t="str">
        <f>TEXT(calls[[#This Row],[Date of Call]],"DDDD")</f>
        <v>Thursday</v>
      </c>
      <c r="K237" t="str" cm="1">
        <f t="array" ref="K23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7">
        <f>ROUND(calls[[#This Row],[Satisfaction Rating]],0)</f>
        <v>3</v>
      </c>
    </row>
    <row r="238" spans="2:12">
      <c r="B238" t="s">
        <v>260</v>
      </c>
      <c r="C238" t="s">
        <v>15</v>
      </c>
      <c r="D238">
        <v>100</v>
      </c>
      <c r="E238" s="17" t="s">
        <v>9</v>
      </c>
      <c r="F238" s="18">
        <v>45001</v>
      </c>
      <c r="G238">
        <v>124</v>
      </c>
      <c r="H238">
        <v>3.4</v>
      </c>
      <c r="I238">
        <f>IF(MONTH(calls[[#This Row],[Date of Call]])&lt;=6, YEAR(calls[[#This Row],[Date of Call]]), YEAR(calls[[#This Row],[Date of Call]])+1)</f>
        <v>2023</v>
      </c>
      <c r="J238" t="str">
        <f>TEXT(calls[[#This Row],[Date of Call]],"DDDD")</f>
        <v>Thursday</v>
      </c>
      <c r="K238" t="str" cm="1">
        <f t="array" ref="K2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8">
        <f>ROUND(calls[[#This Row],[Satisfaction Rating]],0)</f>
        <v>3</v>
      </c>
    </row>
    <row r="239" spans="2:12">
      <c r="B239" t="s">
        <v>261</v>
      </c>
      <c r="C239" t="s">
        <v>7</v>
      </c>
      <c r="D239">
        <v>84</v>
      </c>
      <c r="E239" s="17" t="s">
        <v>9</v>
      </c>
      <c r="F239" s="18">
        <v>45001</v>
      </c>
      <c r="G239">
        <v>72</v>
      </c>
      <c r="H239">
        <v>3.5</v>
      </c>
      <c r="I239">
        <f>IF(MONTH(calls[[#This Row],[Date of Call]])&lt;=6, YEAR(calls[[#This Row],[Date of Call]]), YEAR(calls[[#This Row],[Date of Call]])+1)</f>
        <v>2023</v>
      </c>
      <c r="J239" t="str">
        <f>TEXT(calls[[#This Row],[Date of Call]],"DDDD")</f>
        <v>Thursday</v>
      </c>
      <c r="K239" t="str" cm="1">
        <f t="array" ref="K2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9">
        <f>ROUND(calls[[#This Row],[Satisfaction Rating]],0)</f>
        <v>4</v>
      </c>
    </row>
    <row r="240" spans="2:12">
      <c r="B240" t="s">
        <v>262</v>
      </c>
      <c r="C240" t="s">
        <v>20</v>
      </c>
      <c r="D240">
        <v>92</v>
      </c>
      <c r="E240" s="17" t="s">
        <v>11</v>
      </c>
      <c r="F240" s="18">
        <v>45002</v>
      </c>
      <c r="G240">
        <v>125</v>
      </c>
      <c r="H240">
        <v>4.9000000000000004</v>
      </c>
      <c r="I240">
        <f>IF(MONTH(calls[[#This Row],[Date of Call]])&lt;=6, YEAR(calls[[#This Row],[Date of Call]]), YEAR(calls[[#This Row],[Date of Call]])+1)</f>
        <v>2023</v>
      </c>
      <c r="J240" t="str">
        <f>TEXT(calls[[#This Row],[Date of Call]],"DDDD")</f>
        <v>Friday</v>
      </c>
      <c r="K240" t="str" cm="1">
        <f t="array" ref="K2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0">
        <f>ROUND(calls[[#This Row],[Satisfaction Rating]],0)</f>
        <v>5</v>
      </c>
    </row>
    <row r="241" spans="2:12">
      <c r="B241" t="s">
        <v>263</v>
      </c>
      <c r="C241" t="s">
        <v>18</v>
      </c>
      <c r="D241">
        <v>64</v>
      </c>
      <c r="E241" s="17" t="s">
        <v>10</v>
      </c>
      <c r="F241" s="18">
        <v>45002</v>
      </c>
      <c r="G241">
        <v>22</v>
      </c>
      <c r="H241">
        <v>4.0999999999999996</v>
      </c>
      <c r="I241">
        <f>IF(MONTH(calls[[#This Row],[Date of Call]])&lt;=6, YEAR(calls[[#This Row],[Date of Call]]), YEAR(calls[[#This Row],[Date of Call]])+1)</f>
        <v>2023</v>
      </c>
      <c r="J241" t="str">
        <f>TEXT(calls[[#This Row],[Date of Call]],"DDDD")</f>
        <v>Friday</v>
      </c>
      <c r="K241" t="str" cm="1">
        <f t="array" ref="K2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1">
        <f>ROUND(calls[[#This Row],[Satisfaction Rating]],0)</f>
        <v>4</v>
      </c>
    </row>
    <row r="242" spans="2:12">
      <c r="B242" t="s">
        <v>264</v>
      </c>
      <c r="C242" t="s">
        <v>23</v>
      </c>
      <c r="D242">
        <v>89</v>
      </c>
      <c r="E242" s="17" t="s">
        <v>13</v>
      </c>
      <c r="F242" s="18">
        <v>45003</v>
      </c>
      <c r="G242">
        <v>70</v>
      </c>
      <c r="H242">
        <v>4.9000000000000004</v>
      </c>
      <c r="I242">
        <f>IF(MONTH(calls[[#This Row],[Date of Call]])&lt;=6, YEAR(calls[[#This Row],[Date of Call]]), YEAR(calls[[#This Row],[Date of Call]])+1)</f>
        <v>2023</v>
      </c>
      <c r="J242" t="str">
        <f>TEXT(calls[[#This Row],[Date of Call]],"DDDD")</f>
        <v>Saturday</v>
      </c>
      <c r="K242" t="str" cm="1">
        <f t="array" ref="K2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2">
        <f>ROUND(calls[[#This Row],[Satisfaction Rating]],0)</f>
        <v>5</v>
      </c>
    </row>
    <row r="243" spans="2:12">
      <c r="B243" t="s">
        <v>265</v>
      </c>
      <c r="C243" t="s">
        <v>19</v>
      </c>
      <c r="D243">
        <v>40</v>
      </c>
      <c r="E243" s="17" t="s">
        <v>9</v>
      </c>
      <c r="F243" s="18">
        <v>45003</v>
      </c>
      <c r="G243">
        <v>24</v>
      </c>
      <c r="H243">
        <v>4.3</v>
      </c>
      <c r="I243">
        <f>IF(MONTH(calls[[#This Row],[Date of Call]])&lt;=6, YEAR(calls[[#This Row],[Date of Call]]), YEAR(calls[[#This Row],[Date of Call]])+1)</f>
        <v>2023</v>
      </c>
      <c r="J243" t="str">
        <f>TEXT(calls[[#This Row],[Date of Call]],"DDDD")</f>
        <v>Saturday</v>
      </c>
      <c r="K243" t="str" cm="1">
        <f t="array" ref="K24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43">
        <f>ROUND(calls[[#This Row],[Satisfaction Rating]],0)</f>
        <v>4</v>
      </c>
    </row>
    <row r="244" spans="2:12">
      <c r="B244" t="s">
        <v>266</v>
      </c>
      <c r="C244" t="s">
        <v>14</v>
      </c>
      <c r="D244">
        <v>75</v>
      </c>
      <c r="E244" s="17" t="s">
        <v>6</v>
      </c>
      <c r="F244" s="18">
        <v>45003</v>
      </c>
      <c r="G244">
        <v>32</v>
      </c>
      <c r="H244">
        <v>4.0999999999999996</v>
      </c>
      <c r="I244">
        <f>IF(MONTH(calls[[#This Row],[Date of Call]])&lt;=6, YEAR(calls[[#This Row],[Date of Call]]), YEAR(calls[[#This Row],[Date of Call]])+1)</f>
        <v>2023</v>
      </c>
      <c r="J244" t="str">
        <f>TEXT(calls[[#This Row],[Date of Call]],"DDDD")</f>
        <v>Saturday</v>
      </c>
      <c r="K244" t="str" cm="1">
        <f t="array" ref="K2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4">
        <f>ROUND(calls[[#This Row],[Satisfaction Rating]],0)</f>
        <v>4</v>
      </c>
    </row>
    <row r="245" spans="2:12">
      <c r="B245" t="s">
        <v>267</v>
      </c>
      <c r="C245" t="s">
        <v>17</v>
      </c>
      <c r="D245">
        <v>106</v>
      </c>
      <c r="E245" s="17" t="s">
        <v>11</v>
      </c>
      <c r="F245" s="18">
        <v>45003</v>
      </c>
      <c r="G245">
        <v>112</v>
      </c>
      <c r="H245">
        <v>4.4000000000000004</v>
      </c>
      <c r="I245">
        <f>IF(MONTH(calls[[#This Row],[Date of Call]])&lt;=6, YEAR(calls[[#This Row],[Date of Call]]), YEAR(calls[[#This Row],[Date of Call]])+1)</f>
        <v>2023</v>
      </c>
      <c r="J245" t="str">
        <f>TEXT(calls[[#This Row],[Date of Call]],"DDDD")</f>
        <v>Saturday</v>
      </c>
      <c r="K245" t="str" cm="1">
        <f t="array" ref="K2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5">
        <f>ROUND(calls[[#This Row],[Satisfaction Rating]],0)</f>
        <v>4</v>
      </c>
    </row>
    <row r="246" spans="2:12">
      <c r="B246" t="s">
        <v>268</v>
      </c>
      <c r="C246" t="s">
        <v>18</v>
      </c>
      <c r="D246">
        <v>58</v>
      </c>
      <c r="E246" s="17" t="s">
        <v>9</v>
      </c>
      <c r="F246" s="18">
        <v>45004</v>
      </c>
      <c r="G246">
        <v>43</v>
      </c>
      <c r="H246">
        <v>4.5</v>
      </c>
      <c r="I246">
        <f>IF(MONTH(calls[[#This Row],[Date of Call]])&lt;=6, YEAR(calls[[#This Row],[Date of Call]]), YEAR(calls[[#This Row],[Date of Call]])+1)</f>
        <v>2023</v>
      </c>
      <c r="J246" t="str">
        <f>TEXT(calls[[#This Row],[Date of Call]],"DDDD")</f>
        <v>Sunday</v>
      </c>
      <c r="K246" t="str" cm="1">
        <f t="array" ref="K24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46">
        <f>ROUND(calls[[#This Row],[Satisfaction Rating]],0)</f>
        <v>5</v>
      </c>
    </row>
    <row r="247" spans="2:12">
      <c r="B247" t="s">
        <v>269</v>
      </c>
      <c r="C247" t="s">
        <v>7</v>
      </c>
      <c r="D247">
        <v>84</v>
      </c>
      <c r="E247" s="17" t="s">
        <v>11</v>
      </c>
      <c r="F247" s="18">
        <v>45004</v>
      </c>
      <c r="G247">
        <v>22</v>
      </c>
      <c r="H247">
        <v>3.5</v>
      </c>
      <c r="I247">
        <f>IF(MONTH(calls[[#This Row],[Date of Call]])&lt;=6, YEAR(calls[[#This Row],[Date of Call]]), YEAR(calls[[#This Row],[Date of Call]])+1)</f>
        <v>2023</v>
      </c>
      <c r="J247" t="str">
        <f>TEXT(calls[[#This Row],[Date of Call]],"DDDD")</f>
        <v>Sunday</v>
      </c>
      <c r="K247" t="str" cm="1">
        <f t="array" ref="K2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7">
        <f>ROUND(calls[[#This Row],[Satisfaction Rating]],0)</f>
        <v>4</v>
      </c>
    </row>
    <row r="248" spans="2:12">
      <c r="B248" t="s">
        <v>270</v>
      </c>
      <c r="C248" t="s">
        <v>22</v>
      </c>
      <c r="D248">
        <v>140</v>
      </c>
      <c r="E248" s="17" t="s">
        <v>11</v>
      </c>
      <c r="F248" s="18">
        <v>45004</v>
      </c>
      <c r="G248">
        <v>93</v>
      </c>
      <c r="H248">
        <v>4.4000000000000004</v>
      </c>
      <c r="I248">
        <f>IF(MONTH(calls[[#This Row],[Date of Call]])&lt;=6, YEAR(calls[[#This Row],[Date of Call]]), YEAR(calls[[#This Row],[Date of Call]])+1)</f>
        <v>2023</v>
      </c>
      <c r="J248" t="str">
        <f>TEXT(calls[[#This Row],[Date of Call]],"DDDD")</f>
        <v>Sunday</v>
      </c>
      <c r="K248" t="str" cm="1">
        <f t="array" ref="K24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48">
        <f>ROUND(calls[[#This Row],[Satisfaction Rating]],0)</f>
        <v>4</v>
      </c>
    </row>
    <row r="249" spans="2:12">
      <c r="B249" t="s">
        <v>271</v>
      </c>
      <c r="C249" t="s">
        <v>18</v>
      </c>
      <c r="D249">
        <v>67</v>
      </c>
      <c r="E249" s="17" t="s">
        <v>11</v>
      </c>
      <c r="F249" s="18">
        <v>45004</v>
      </c>
      <c r="G249">
        <v>45</v>
      </c>
      <c r="H249">
        <v>3.5</v>
      </c>
      <c r="I249">
        <f>IF(MONTH(calls[[#This Row],[Date of Call]])&lt;=6, YEAR(calls[[#This Row],[Date of Call]]), YEAR(calls[[#This Row],[Date of Call]])+1)</f>
        <v>2023</v>
      </c>
      <c r="J249" t="str">
        <f>TEXT(calls[[#This Row],[Date of Call]],"DDDD")</f>
        <v>Sunday</v>
      </c>
      <c r="K249" t="str" cm="1">
        <f t="array" ref="K2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9">
        <f>ROUND(calls[[#This Row],[Satisfaction Rating]],0)</f>
        <v>4</v>
      </c>
    </row>
    <row r="250" spans="2:12">
      <c r="B250" t="s">
        <v>272</v>
      </c>
      <c r="C250" t="s">
        <v>12</v>
      </c>
      <c r="D250">
        <v>126</v>
      </c>
      <c r="E250" s="17" t="s">
        <v>11</v>
      </c>
      <c r="F250" s="18">
        <v>45005</v>
      </c>
      <c r="G250">
        <v>96</v>
      </c>
      <c r="H250">
        <v>3.8</v>
      </c>
      <c r="I250">
        <f>IF(MONTH(calls[[#This Row],[Date of Call]])&lt;=6, YEAR(calls[[#This Row],[Date of Call]]), YEAR(calls[[#This Row],[Date of Call]])+1)</f>
        <v>2023</v>
      </c>
      <c r="J250" t="str">
        <f>TEXT(calls[[#This Row],[Date of Call]],"DDDD")</f>
        <v>Monday</v>
      </c>
      <c r="K250" t="str" cm="1">
        <f t="array" ref="K2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50">
        <f>ROUND(calls[[#This Row],[Satisfaction Rating]],0)</f>
        <v>4</v>
      </c>
    </row>
    <row r="251" spans="2:12">
      <c r="B251" t="s">
        <v>273</v>
      </c>
      <c r="C251" t="s">
        <v>12</v>
      </c>
      <c r="D251">
        <v>89</v>
      </c>
      <c r="E251" s="17" t="s">
        <v>9</v>
      </c>
      <c r="F251" s="18">
        <v>45005</v>
      </c>
      <c r="G251">
        <v>96</v>
      </c>
      <c r="H251">
        <v>3.3</v>
      </c>
      <c r="I251">
        <f>IF(MONTH(calls[[#This Row],[Date of Call]])&lt;=6, YEAR(calls[[#This Row],[Date of Call]]), YEAR(calls[[#This Row],[Date of Call]])+1)</f>
        <v>2023</v>
      </c>
      <c r="J251" t="str">
        <f>TEXT(calls[[#This Row],[Date of Call]],"DDDD")</f>
        <v>Monday</v>
      </c>
      <c r="K251" t="str" cm="1">
        <f t="array" ref="K2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1">
        <f>ROUND(calls[[#This Row],[Satisfaction Rating]],0)</f>
        <v>3</v>
      </c>
    </row>
    <row r="252" spans="2:12">
      <c r="B252" t="s">
        <v>274</v>
      </c>
      <c r="C252" t="s">
        <v>23</v>
      </c>
      <c r="D252">
        <v>56</v>
      </c>
      <c r="E252" s="17" t="s">
        <v>10</v>
      </c>
      <c r="F252" s="18">
        <v>45005</v>
      </c>
      <c r="G252">
        <v>31</v>
      </c>
      <c r="H252">
        <v>4.4000000000000004</v>
      </c>
      <c r="I252">
        <f>IF(MONTH(calls[[#This Row],[Date of Call]])&lt;=6, YEAR(calls[[#This Row],[Date of Call]]), YEAR(calls[[#This Row],[Date of Call]])+1)</f>
        <v>2023</v>
      </c>
      <c r="J252" t="str">
        <f>TEXT(calls[[#This Row],[Date of Call]],"DDDD")</f>
        <v>Monday</v>
      </c>
      <c r="K252" t="str" cm="1">
        <f t="array" ref="K25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2">
        <f>ROUND(calls[[#This Row],[Satisfaction Rating]],0)</f>
        <v>4</v>
      </c>
    </row>
    <row r="253" spans="2:12">
      <c r="B253" t="s">
        <v>275</v>
      </c>
      <c r="C253" t="s">
        <v>8</v>
      </c>
      <c r="D253">
        <v>48</v>
      </c>
      <c r="E253" s="17" t="s">
        <v>9</v>
      </c>
      <c r="F253" s="18">
        <v>45005</v>
      </c>
      <c r="G253">
        <v>200</v>
      </c>
      <c r="H253">
        <v>3.9</v>
      </c>
      <c r="I253">
        <f>IF(MONTH(calls[[#This Row],[Date of Call]])&lt;=6, YEAR(calls[[#This Row],[Date of Call]]), YEAR(calls[[#This Row],[Date of Call]])+1)</f>
        <v>2023</v>
      </c>
      <c r="J253" t="str">
        <f>TEXT(calls[[#This Row],[Date of Call]],"DDDD")</f>
        <v>Monday</v>
      </c>
      <c r="K253" t="str" cm="1">
        <f t="array" ref="K25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3">
        <f>ROUND(calls[[#This Row],[Satisfaction Rating]],0)</f>
        <v>4</v>
      </c>
    </row>
    <row r="254" spans="2:12">
      <c r="B254" t="s">
        <v>276</v>
      </c>
      <c r="C254" t="s">
        <v>12</v>
      </c>
      <c r="D254">
        <v>55</v>
      </c>
      <c r="E254" s="17" t="s">
        <v>10</v>
      </c>
      <c r="F254" s="18">
        <v>45005</v>
      </c>
      <c r="G254">
        <v>99</v>
      </c>
      <c r="H254">
        <v>2.7</v>
      </c>
      <c r="I254">
        <f>IF(MONTH(calls[[#This Row],[Date of Call]])&lt;=6, YEAR(calls[[#This Row],[Date of Call]]), YEAR(calls[[#This Row],[Date of Call]])+1)</f>
        <v>2023</v>
      </c>
      <c r="J254" t="str">
        <f>TEXT(calls[[#This Row],[Date of Call]],"DDDD")</f>
        <v>Monday</v>
      </c>
      <c r="K254" t="str" cm="1">
        <f t="array" ref="K25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4">
        <f>ROUND(calls[[#This Row],[Satisfaction Rating]],0)</f>
        <v>3</v>
      </c>
    </row>
    <row r="255" spans="2:12">
      <c r="B255" t="s">
        <v>277</v>
      </c>
      <c r="C255" t="s">
        <v>21</v>
      </c>
      <c r="D255">
        <v>88</v>
      </c>
      <c r="E255" s="17" t="s">
        <v>6</v>
      </c>
      <c r="F255" s="18">
        <v>45005</v>
      </c>
      <c r="G255">
        <v>144</v>
      </c>
      <c r="H255">
        <v>2.9</v>
      </c>
      <c r="I255">
        <f>IF(MONTH(calls[[#This Row],[Date of Call]])&lt;=6, YEAR(calls[[#This Row],[Date of Call]]), YEAR(calls[[#This Row],[Date of Call]])+1)</f>
        <v>2023</v>
      </c>
      <c r="J255" t="str">
        <f>TEXT(calls[[#This Row],[Date of Call]],"DDDD")</f>
        <v>Monday</v>
      </c>
      <c r="K255" t="str" cm="1">
        <f t="array" ref="K2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5">
        <f>ROUND(calls[[#This Row],[Satisfaction Rating]],0)</f>
        <v>3</v>
      </c>
    </row>
    <row r="256" spans="2:12">
      <c r="B256" t="s">
        <v>278</v>
      </c>
      <c r="C256" t="s">
        <v>23</v>
      </c>
      <c r="D256">
        <v>102</v>
      </c>
      <c r="E256" s="17" t="s">
        <v>11</v>
      </c>
      <c r="F256" s="18">
        <v>45006</v>
      </c>
      <c r="G256">
        <v>81</v>
      </c>
      <c r="H256">
        <v>4</v>
      </c>
      <c r="I256">
        <f>IF(MONTH(calls[[#This Row],[Date of Call]])&lt;=6, YEAR(calls[[#This Row],[Date of Call]]), YEAR(calls[[#This Row],[Date of Call]])+1)</f>
        <v>2023</v>
      </c>
      <c r="J256" t="str">
        <f>TEXT(calls[[#This Row],[Date of Call]],"DDDD")</f>
        <v>Tuesday</v>
      </c>
      <c r="K256" t="str" cm="1">
        <f t="array" ref="K2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6">
        <f>ROUND(calls[[#This Row],[Satisfaction Rating]],0)</f>
        <v>4</v>
      </c>
    </row>
    <row r="257" spans="2:12">
      <c r="B257" t="s">
        <v>279</v>
      </c>
      <c r="C257" t="s">
        <v>21</v>
      </c>
      <c r="D257">
        <v>155</v>
      </c>
      <c r="E257" s="17" t="s">
        <v>6</v>
      </c>
      <c r="F257" s="18">
        <v>45006</v>
      </c>
      <c r="G257">
        <v>70</v>
      </c>
      <c r="H257">
        <v>4.4000000000000004</v>
      </c>
      <c r="I257">
        <f>IF(MONTH(calls[[#This Row],[Date of Call]])&lt;=6, YEAR(calls[[#This Row],[Date of Call]]), YEAR(calls[[#This Row],[Date of Call]])+1)</f>
        <v>2023</v>
      </c>
      <c r="J257" t="str">
        <f>TEXT(calls[[#This Row],[Date of Call]],"DDDD")</f>
        <v>Tuesday</v>
      </c>
      <c r="K257" t="str" cm="1">
        <f t="array" ref="K2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57">
        <f>ROUND(calls[[#This Row],[Satisfaction Rating]],0)</f>
        <v>4</v>
      </c>
    </row>
    <row r="258" spans="2:12">
      <c r="B258" t="s">
        <v>280</v>
      </c>
      <c r="C258" t="s">
        <v>12</v>
      </c>
      <c r="D258">
        <v>63</v>
      </c>
      <c r="E258" s="17" t="s">
        <v>6</v>
      </c>
      <c r="F258" s="18">
        <v>45006</v>
      </c>
      <c r="G258">
        <v>148</v>
      </c>
      <c r="H258">
        <v>5</v>
      </c>
      <c r="I258">
        <f>IF(MONTH(calls[[#This Row],[Date of Call]])&lt;=6, YEAR(calls[[#This Row],[Date of Call]]), YEAR(calls[[#This Row],[Date of Call]])+1)</f>
        <v>2023</v>
      </c>
      <c r="J258" t="str">
        <f>TEXT(calls[[#This Row],[Date of Call]],"DDDD")</f>
        <v>Tuesday</v>
      </c>
      <c r="K258" t="str" cm="1">
        <f t="array" ref="K2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8">
        <f>ROUND(calls[[#This Row],[Satisfaction Rating]],0)</f>
        <v>5</v>
      </c>
    </row>
    <row r="259" spans="2:12">
      <c r="B259" t="s">
        <v>281</v>
      </c>
      <c r="C259" t="s">
        <v>15</v>
      </c>
      <c r="D259">
        <v>59</v>
      </c>
      <c r="E259" s="17" t="s">
        <v>11</v>
      </c>
      <c r="F259" s="18">
        <v>45006</v>
      </c>
      <c r="G259">
        <v>215</v>
      </c>
      <c r="H259">
        <v>4.0999999999999996</v>
      </c>
      <c r="I259">
        <f>IF(MONTH(calls[[#This Row],[Date of Call]])&lt;=6, YEAR(calls[[#This Row],[Date of Call]]), YEAR(calls[[#This Row],[Date of Call]])+1)</f>
        <v>2023</v>
      </c>
      <c r="J259" t="str">
        <f>TEXT(calls[[#This Row],[Date of Call]],"DDDD")</f>
        <v>Tuesday</v>
      </c>
      <c r="K259" t="str" cm="1">
        <f t="array" ref="K2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9">
        <f>ROUND(calls[[#This Row],[Satisfaction Rating]],0)</f>
        <v>4</v>
      </c>
    </row>
    <row r="260" spans="2:12">
      <c r="B260" t="s">
        <v>282</v>
      </c>
      <c r="C260" t="s">
        <v>15</v>
      </c>
      <c r="D260">
        <v>144</v>
      </c>
      <c r="E260" s="17" t="s">
        <v>9</v>
      </c>
      <c r="F260" s="18">
        <v>45006</v>
      </c>
      <c r="G260">
        <v>124</v>
      </c>
      <c r="H260">
        <v>4.4000000000000004</v>
      </c>
      <c r="I260">
        <f>IF(MONTH(calls[[#This Row],[Date of Call]])&lt;=6, YEAR(calls[[#This Row],[Date of Call]]), YEAR(calls[[#This Row],[Date of Call]])+1)</f>
        <v>2023</v>
      </c>
      <c r="J260" t="str">
        <f>TEXT(calls[[#This Row],[Date of Call]],"DDDD")</f>
        <v>Tuesday</v>
      </c>
      <c r="K260" t="str" cm="1">
        <f t="array" ref="K26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0">
        <f>ROUND(calls[[#This Row],[Satisfaction Rating]],0)</f>
        <v>4</v>
      </c>
    </row>
    <row r="261" spans="2:12">
      <c r="B261" t="s">
        <v>283</v>
      </c>
      <c r="C261" t="s">
        <v>7</v>
      </c>
      <c r="D261">
        <v>113</v>
      </c>
      <c r="E261" s="17" t="s">
        <v>13</v>
      </c>
      <c r="F261" s="18">
        <v>45006</v>
      </c>
      <c r="G261">
        <v>168</v>
      </c>
      <c r="H261">
        <v>4.0999999999999996</v>
      </c>
      <c r="I261">
        <f>IF(MONTH(calls[[#This Row],[Date of Call]])&lt;=6, YEAR(calls[[#This Row],[Date of Call]]), YEAR(calls[[#This Row],[Date of Call]])+1)</f>
        <v>2023</v>
      </c>
      <c r="J261" t="str">
        <f>TEXT(calls[[#This Row],[Date of Call]],"DDDD")</f>
        <v>Tuesday</v>
      </c>
      <c r="K261" t="str" cm="1">
        <f t="array" ref="K2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1">
        <f>ROUND(calls[[#This Row],[Satisfaction Rating]],0)</f>
        <v>4</v>
      </c>
    </row>
    <row r="262" spans="2:12">
      <c r="B262" t="s">
        <v>284</v>
      </c>
      <c r="C262" t="s">
        <v>16</v>
      </c>
      <c r="D262">
        <v>154</v>
      </c>
      <c r="E262" s="17" t="s">
        <v>10</v>
      </c>
      <c r="F262" s="18">
        <v>45006</v>
      </c>
      <c r="G262">
        <v>90</v>
      </c>
      <c r="H262">
        <v>4.5</v>
      </c>
      <c r="I262">
        <f>IF(MONTH(calls[[#This Row],[Date of Call]])&lt;=6, YEAR(calls[[#This Row],[Date of Call]]), YEAR(calls[[#This Row],[Date of Call]])+1)</f>
        <v>2023</v>
      </c>
      <c r="J262" t="str">
        <f>TEXT(calls[[#This Row],[Date of Call]],"DDDD")</f>
        <v>Tuesday</v>
      </c>
      <c r="K262" t="str" cm="1">
        <f t="array" ref="K26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2">
        <f>ROUND(calls[[#This Row],[Satisfaction Rating]],0)</f>
        <v>5</v>
      </c>
    </row>
    <row r="263" spans="2:12">
      <c r="B263" t="s">
        <v>285</v>
      </c>
      <c r="C263" t="s">
        <v>16</v>
      </c>
      <c r="D263">
        <v>58</v>
      </c>
      <c r="E263" s="17" t="s">
        <v>11</v>
      </c>
      <c r="F263" s="18">
        <v>45007</v>
      </c>
      <c r="G263">
        <v>176</v>
      </c>
      <c r="H263">
        <v>4.2</v>
      </c>
      <c r="I263">
        <f>IF(MONTH(calls[[#This Row],[Date of Call]])&lt;=6, YEAR(calls[[#This Row],[Date of Call]]), YEAR(calls[[#This Row],[Date of Call]])+1)</f>
        <v>2023</v>
      </c>
      <c r="J263" t="str">
        <f>TEXT(calls[[#This Row],[Date of Call]],"DDDD")</f>
        <v>Wednesday</v>
      </c>
      <c r="K263" t="str" cm="1">
        <f t="array" ref="K26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63">
        <f>ROUND(calls[[#This Row],[Satisfaction Rating]],0)</f>
        <v>4</v>
      </c>
    </row>
    <row r="264" spans="2:12">
      <c r="B264" t="s">
        <v>286</v>
      </c>
      <c r="C264" t="s">
        <v>8</v>
      </c>
      <c r="D264">
        <v>63</v>
      </c>
      <c r="E264" s="17" t="s">
        <v>6</v>
      </c>
      <c r="F264" s="18">
        <v>45007</v>
      </c>
      <c r="G264">
        <v>87</v>
      </c>
      <c r="H264">
        <v>4.5999999999999996</v>
      </c>
      <c r="I264">
        <f>IF(MONTH(calls[[#This Row],[Date of Call]])&lt;=6, YEAR(calls[[#This Row],[Date of Call]]), YEAR(calls[[#This Row],[Date of Call]])+1)</f>
        <v>2023</v>
      </c>
      <c r="J264" t="str">
        <f>TEXT(calls[[#This Row],[Date of Call]],"DDDD")</f>
        <v>Wednesday</v>
      </c>
      <c r="K264" t="str" cm="1">
        <f t="array" ref="K2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4">
        <f>ROUND(calls[[#This Row],[Satisfaction Rating]],0)</f>
        <v>5</v>
      </c>
    </row>
    <row r="265" spans="2:12">
      <c r="B265" t="s">
        <v>287</v>
      </c>
      <c r="C265" t="s">
        <v>22</v>
      </c>
      <c r="D265">
        <v>59</v>
      </c>
      <c r="E265" s="17" t="s">
        <v>9</v>
      </c>
      <c r="F265" s="18">
        <v>45007</v>
      </c>
      <c r="G265">
        <v>128</v>
      </c>
      <c r="H265">
        <v>4.5</v>
      </c>
      <c r="I265">
        <f>IF(MONTH(calls[[#This Row],[Date of Call]])&lt;=6, YEAR(calls[[#This Row],[Date of Call]]), YEAR(calls[[#This Row],[Date of Call]])+1)</f>
        <v>2023</v>
      </c>
      <c r="J265" t="str">
        <f>TEXT(calls[[#This Row],[Date of Call]],"DDDD")</f>
        <v>Wednesday</v>
      </c>
      <c r="K265" t="str" cm="1">
        <f t="array" ref="K2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65">
        <f>ROUND(calls[[#This Row],[Satisfaction Rating]],0)</f>
        <v>5</v>
      </c>
    </row>
    <row r="266" spans="2:12">
      <c r="B266" t="s">
        <v>288</v>
      </c>
      <c r="C266" t="s">
        <v>5</v>
      </c>
      <c r="D266">
        <v>129</v>
      </c>
      <c r="E266" s="17" t="s">
        <v>6</v>
      </c>
      <c r="F266" s="18">
        <v>45007</v>
      </c>
      <c r="G266">
        <v>120</v>
      </c>
      <c r="H266">
        <v>4.0999999999999996</v>
      </c>
      <c r="I266">
        <f>IF(MONTH(calls[[#This Row],[Date of Call]])&lt;=6, YEAR(calls[[#This Row],[Date of Call]]), YEAR(calls[[#This Row],[Date of Call]])+1)</f>
        <v>2023</v>
      </c>
      <c r="J266" t="str">
        <f>TEXT(calls[[#This Row],[Date of Call]],"DDDD")</f>
        <v>Wednesday</v>
      </c>
      <c r="K266" t="str" cm="1">
        <f t="array" ref="K26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6">
        <f>ROUND(calls[[#This Row],[Satisfaction Rating]],0)</f>
        <v>4</v>
      </c>
    </row>
    <row r="267" spans="2:12">
      <c r="B267" t="s">
        <v>289</v>
      </c>
      <c r="C267" t="s">
        <v>24</v>
      </c>
      <c r="D267">
        <v>101</v>
      </c>
      <c r="E267" s="17" t="s">
        <v>13</v>
      </c>
      <c r="F267" s="18">
        <v>45007</v>
      </c>
      <c r="G267">
        <v>130</v>
      </c>
      <c r="H267">
        <v>4.8</v>
      </c>
      <c r="I267">
        <f>IF(MONTH(calls[[#This Row],[Date of Call]])&lt;=6, YEAR(calls[[#This Row],[Date of Call]]), YEAR(calls[[#This Row],[Date of Call]])+1)</f>
        <v>2023</v>
      </c>
      <c r="J267" t="str">
        <f>TEXT(calls[[#This Row],[Date of Call]],"DDDD")</f>
        <v>Wednesday</v>
      </c>
      <c r="K267" t="str" cm="1">
        <f t="array" ref="K2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7">
        <f>ROUND(calls[[#This Row],[Satisfaction Rating]],0)</f>
        <v>5</v>
      </c>
    </row>
    <row r="268" spans="2:12">
      <c r="B268" t="s">
        <v>290</v>
      </c>
      <c r="C268" t="s">
        <v>19</v>
      </c>
      <c r="D268">
        <v>154</v>
      </c>
      <c r="E268" s="17" t="s">
        <v>9</v>
      </c>
      <c r="F268" s="18">
        <v>45007</v>
      </c>
      <c r="G268">
        <v>172</v>
      </c>
      <c r="H268">
        <v>3.1</v>
      </c>
      <c r="I268">
        <f>IF(MONTH(calls[[#This Row],[Date of Call]])&lt;=6, YEAR(calls[[#This Row],[Date of Call]]), YEAR(calls[[#This Row],[Date of Call]])+1)</f>
        <v>2023</v>
      </c>
      <c r="J268" t="str">
        <f>TEXT(calls[[#This Row],[Date of Call]],"DDDD")</f>
        <v>Wednesday</v>
      </c>
      <c r="K268" t="str" cm="1">
        <f t="array" ref="K26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8">
        <f>ROUND(calls[[#This Row],[Satisfaction Rating]],0)</f>
        <v>3</v>
      </c>
    </row>
    <row r="269" spans="2:12">
      <c r="B269" t="s">
        <v>291</v>
      </c>
      <c r="C269" t="s">
        <v>18</v>
      </c>
      <c r="D269">
        <v>131</v>
      </c>
      <c r="E269" s="17" t="s">
        <v>9</v>
      </c>
      <c r="F269" s="18">
        <v>45007</v>
      </c>
      <c r="G269">
        <v>58</v>
      </c>
      <c r="H269">
        <v>4.9000000000000004</v>
      </c>
      <c r="I269">
        <f>IF(MONTH(calls[[#This Row],[Date of Call]])&lt;=6, YEAR(calls[[#This Row],[Date of Call]]), YEAR(calls[[#This Row],[Date of Call]])+1)</f>
        <v>2023</v>
      </c>
      <c r="J269" t="str">
        <f>TEXT(calls[[#This Row],[Date of Call]],"DDDD")</f>
        <v>Wednesday</v>
      </c>
      <c r="K269" t="str" cm="1">
        <f t="array" ref="K26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9">
        <f>ROUND(calls[[#This Row],[Satisfaction Rating]],0)</f>
        <v>5</v>
      </c>
    </row>
    <row r="270" spans="2:12">
      <c r="B270" t="s">
        <v>292</v>
      </c>
      <c r="C270" t="s">
        <v>15</v>
      </c>
      <c r="D270">
        <v>111</v>
      </c>
      <c r="E270" s="17" t="s">
        <v>13</v>
      </c>
      <c r="F270" s="18">
        <v>45008</v>
      </c>
      <c r="G270">
        <v>86</v>
      </c>
      <c r="H270">
        <v>4.0999999999999996</v>
      </c>
      <c r="I270">
        <f>IF(MONTH(calls[[#This Row],[Date of Call]])&lt;=6, YEAR(calls[[#This Row],[Date of Call]]), YEAR(calls[[#This Row],[Date of Call]])+1)</f>
        <v>2023</v>
      </c>
      <c r="J270" t="str">
        <f>TEXT(calls[[#This Row],[Date of Call]],"DDDD")</f>
        <v>Thursday</v>
      </c>
      <c r="K270" t="str" cm="1">
        <f t="array" ref="K2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0">
        <f>ROUND(calls[[#This Row],[Satisfaction Rating]],0)</f>
        <v>4</v>
      </c>
    </row>
    <row r="271" spans="2:12">
      <c r="B271" t="s">
        <v>293</v>
      </c>
      <c r="C271" t="s">
        <v>16</v>
      </c>
      <c r="D271">
        <v>142</v>
      </c>
      <c r="E271" s="17" t="s">
        <v>13</v>
      </c>
      <c r="F271" s="18">
        <v>45009</v>
      </c>
      <c r="G271">
        <v>31</v>
      </c>
      <c r="H271">
        <v>4.4000000000000004</v>
      </c>
      <c r="I271">
        <f>IF(MONTH(calls[[#This Row],[Date of Call]])&lt;=6, YEAR(calls[[#This Row],[Date of Call]]), YEAR(calls[[#This Row],[Date of Call]])+1)</f>
        <v>2023</v>
      </c>
      <c r="J271" t="str">
        <f>TEXT(calls[[#This Row],[Date of Call]],"DDDD")</f>
        <v>Friday</v>
      </c>
      <c r="K271" t="str" cm="1">
        <f t="array" ref="K2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1">
        <f>ROUND(calls[[#This Row],[Satisfaction Rating]],0)</f>
        <v>4</v>
      </c>
    </row>
    <row r="272" spans="2:12">
      <c r="B272" t="s">
        <v>294</v>
      </c>
      <c r="C272" t="s">
        <v>23</v>
      </c>
      <c r="D272">
        <v>93</v>
      </c>
      <c r="E272" s="17" t="s">
        <v>6</v>
      </c>
      <c r="F272" s="18">
        <v>45009</v>
      </c>
      <c r="G272">
        <v>72</v>
      </c>
      <c r="H272">
        <v>4.4000000000000004</v>
      </c>
      <c r="I272">
        <f>IF(MONTH(calls[[#This Row],[Date of Call]])&lt;=6, YEAR(calls[[#This Row],[Date of Call]]), YEAR(calls[[#This Row],[Date of Call]])+1)</f>
        <v>2023</v>
      </c>
      <c r="J272" t="str">
        <f>TEXT(calls[[#This Row],[Date of Call]],"DDDD")</f>
        <v>Friday</v>
      </c>
      <c r="K272" t="str" cm="1">
        <f t="array" ref="K2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2">
        <f>ROUND(calls[[#This Row],[Satisfaction Rating]],0)</f>
        <v>4</v>
      </c>
    </row>
    <row r="273" spans="2:12">
      <c r="B273" t="s">
        <v>295</v>
      </c>
      <c r="C273" t="s">
        <v>16</v>
      </c>
      <c r="D273">
        <v>125</v>
      </c>
      <c r="E273" s="17" t="s">
        <v>10</v>
      </c>
      <c r="F273" s="18">
        <v>45010</v>
      </c>
      <c r="G273">
        <v>27</v>
      </c>
      <c r="H273">
        <v>3</v>
      </c>
      <c r="I273">
        <f>IF(MONTH(calls[[#This Row],[Date of Call]])&lt;=6, YEAR(calls[[#This Row],[Date of Call]]), YEAR(calls[[#This Row],[Date of Call]])+1)</f>
        <v>2023</v>
      </c>
      <c r="J273" t="str">
        <f>TEXT(calls[[#This Row],[Date of Call]],"DDDD")</f>
        <v>Saturday</v>
      </c>
      <c r="K273" t="str" cm="1">
        <f t="array" ref="K2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3">
        <f>ROUND(calls[[#This Row],[Satisfaction Rating]],0)</f>
        <v>3</v>
      </c>
    </row>
    <row r="274" spans="2:12">
      <c r="B274" t="s">
        <v>296</v>
      </c>
      <c r="C274" t="s">
        <v>5</v>
      </c>
      <c r="D274">
        <v>76</v>
      </c>
      <c r="E274" s="17" t="s">
        <v>9</v>
      </c>
      <c r="F274" s="18">
        <v>45010</v>
      </c>
      <c r="G274">
        <v>110</v>
      </c>
      <c r="H274">
        <v>4.4000000000000004</v>
      </c>
      <c r="I274">
        <f>IF(MONTH(calls[[#This Row],[Date of Call]])&lt;=6, YEAR(calls[[#This Row],[Date of Call]]), YEAR(calls[[#This Row],[Date of Call]])+1)</f>
        <v>2023</v>
      </c>
      <c r="J274" t="str">
        <f>TEXT(calls[[#This Row],[Date of Call]],"DDDD")</f>
        <v>Saturday</v>
      </c>
      <c r="K274" t="str" cm="1">
        <f t="array" ref="K2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4">
        <f>ROUND(calls[[#This Row],[Satisfaction Rating]],0)</f>
        <v>4</v>
      </c>
    </row>
    <row r="275" spans="2:12">
      <c r="B275" t="s">
        <v>297</v>
      </c>
      <c r="C275" t="s">
        <v>7</v>
      </c>
      <c r="D275">
        <v>69</v>
      </c>
      <c r="E275" s="17" t="s">
        <v>6</v>
      </c>
      <c r="F275" s="18">
        <v>45010</v>
      </c>
      <c r="G275">
        <v>126</v>
      </c>
      <c r="H275">
        <v>3.7</v>
      </c>
      <c r="I275">
        <f>IF(MONTH(calls[[#This Row],[Date of Call]])&lt;=6, YEAR(calls[[#This Row],[Date of Call]]), YEAR(calls[[#This Row],[Date of Call]])+1)</f>
        <v>2023</v>
      </c>
      <c r="J275" t="str">
        <f>TEXT(calls[[#This Row],[Date of Call]],"DDDD")</f>
        <v>Saturday</v>
      </c>
      <c r="K275" t="str" cm="1">
        <f t="array" ref="K2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5">
        <f>ROUND(calls[[#This Row],[Satisfaction Rating]],0)</f>
        <v>4</v>
      </c>
    </row>
    <row r="276" spans="2:12">
      <c r="B276" t="s">
        <v>298</v>
      </c>
      <c r="C276" t="s">
        <v>22</v>
      </c>
      <c r="D276">
        <v>149</v>
      </c>
      <c r="E276" s="17" t="s">
        <v>10</v>
      </c>
      <c r="F276" s="18">
        <v>45010</v>
      </c>
      <c r="G276">
        <v>60</v>
      </c>
      <c r="H276">
        <v>3.9</v>
      </c>
      <c r="I276">
        <f>IF(MONTH(calls[[#This Row],[Date of Call]])&lt;=6, YEAR(calls[[#This Row],[Date of Call]]), YEAR(calls[[#This Row],[Date of Call]])+1)</f>
        <v>2023</v>
      </c>
      <c r="J276" t="str">
        <f>TEXT(calls[[#This Row],[Date of Call]],"DDDD")</f>
        <v>Saturday</v>
      </c>
      <c r="K276" t="str" cm="1">
        <f t="array" ref="K27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6">
        <f>ROUND(calls[[#This Row],[Satisfaction Rating]],0)</f>
        <v>4</v>
      </c>
    </row>
    <row r="277" spans="2:12">
      <c r="B277" t="s">
        <v>299</v>
      </c>
      <c r="C277" t="s">
        <v>16</v>
      </c>
      <c r="D277">
        <v>57</v>
      </c>
      <c r="E277" s="17" t="s">
        <v>6</v>
      </c>
      <c r="F277" s="18">
        <v>45010</v>
      </c>
      <c r="G277">
        <v>35</v>
      </c>
      <c r="H277">
        <v>3.5</v>
      </c>
      <c r="I277">
        <f>IF(MONTH(calls[[#This Row],[Date of Call]])&lt;=6, YEAR(calls[[#This Row],[Date of Call]]), YEAR(calls[[#This Row],[Date of Call]])+1)</f>
        <v>2023</v>
      </c>
      <c r="J277" t="str">
        <f>TEXT(calls[[#This Row],[Date of Call]],"DDDD")</f>
        <v>Saturday</v>
      </c>
      <c r="K277" t="str" cm="1">
        <f t="array" ref="K27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77">
        <f>ROUND(calls[[#This Row],[Satisfaction Rating]],0)</f>
        <v>4</v>
      </c>
    </row>
    <row r="278" spans="2:12">
      <c r="B278" t="s">
        <v>300</v>
      </c>
      <c r="C278" t="s">
        <v>12</v>
      </c>
      <c r="D278">
        <v>113</v>
      </c>
      <c r="E278" s="17" t="s">
        <v>9</v>
      </c>
      <c r="F278" s="18">
        <v>45010</v>
      </c>
      <c r="G278">
        <v>81</v>
      </c>
      <c r="H278">
        <v>3.5</v>
      </c>
      <c r="I278">
        <f>IF(MONTH(calls[[#This Row],[Date of Call]])&lt;=6, YEAR(calls[[#This Row],[Date of Call]]), YEAR(calls[[#This Row],[Date of Call]])+1)</f>
        <v>2023</v>
      </c>
      <c r="J278" t="str">
        <f>TEXT(calls[[#This Row],[Date of Call]],"DDDD")</f>
        <v>Saturday</v>
      </c>
      <c r="K278" t="str" cm="1">
        <f t="array" ref="K2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8">
        <f>ROUND(calls[[#This Row],[Satisfaction Rating]],0)</f>
        <v>4</v>
      </c>
    </row>
    <row r="279" spans="2:12">
      <c r="B279" t="s">
        <v>301</v>
      </c>
      <c r="C279" t="s">
        <v>20</v>
      </c>
      <c r="D279">
        <v>160</v>
      </c>
      <c r="E279" s="17" t="s">
        <v>10</v>
      </c>
      <c r="F279" s="18">
        <v>45010</v>
      </c>
      <c r="G279">
        <v>116</v>
      </c>
      <c r="H279">
        <v>3.4</v>
      </c>
      <c r="I279">
        <f>IF(MONTH(calls[[#This Row],[Date of Call]])&lt;=6, YEAR(calls[[#This Row],[Date of Call]]), YEAR(calls[[#This Row],[Date of Call]])+1)</f>
        <v>2023</v>
      </c>
      <c r="J279" t="str">
        <f>TEXT(calls[[#This Row],[Date of Call]],"DDDD")</f>
        <v>Saturday</v>
      </c>
      <c r="K279" t="str" cm="1">
        <f t="array" ref="K2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9">
        <f>ROUND(calls[[#This Row],[Satisfaction Rating]],0)</f>
        <v>3</v>
      </c>
    </row>
    <row r="280" spans="2:12">
      <c r="B280" t="s">
        <v>302</v>
      </c>
      <c r="C280" t="s">
        <v>8</v>
      </c>
      <c r="D280">
        <v>158</v>
      </c>
      <c r="E280" s="17" t="s">
        <v>11</v>
      </c>
      <c r="F280" s="18">
        <v>45010</v>
      </c>
      <c r="G280">
        <v>60</v>
      </c>
      <c r="H280">
        <v>4.5</v>
      </c>
      <c r="I280">
        <f>IF(MONTH(calls[[#This Row],[Date of Call]])&lt;=6, YEAR(calls[[#This Row],[Date of Call]]), YEAR(calls[[#This Row],[Date of Call]])+1)</f>
        <v>2023</v>
      </c>
      <c r="J280" t="str">
        <f>TEXT(calls[[#This Row],[Date of Call]],"DDDD")</f>
        <v>Saturday</v>
      </c>
      <c r="K280" t="str" cm="1">
        <f t="array" ref="K28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80">
        <f>ROUND(calls[[#This Row],[Satisfaction Rating]],0)</f>
        <v>5</v>
      </c>
    </row>
    <row r="281" spans="2:12">
      <c r="B281" t="s">
        <v>303</v>
      </c>
      <c r="C281" t="s">
        <v>7</v>
      </c>
      <c r="D281">
        <v>77</v>
      </c>
      <c r="E281" s="17" t="s">
        <v>10</v>
      </c>
      <c r="F281" s="18">
        <v>45011</v>
      </c>
      <c r="G281">
        <v>130</v>
      </c>
      <c r="H281">
        <v>4.2</v>
      </c>
      <c r="I281">
        <f>IF(MONTH(calls[[#This Row],[Date of Call]])&lt;=6, YEAR(calls[[#This Row],[Date of Call]]), YEAR(calls[[#This Row],[Date of Call]])+1)</f>
        <v>2023</v>
      </c>
      <c r="J281" t="str">
        <f>TEXT(calls[[#This Row],[Date of Call]],"DDDD")</f>
        <v>Sunday</v>
      </c>
      <c r="K281" t="str" cm="1">
        <f t="array" ref="K2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1">
        <f>ROUND(calls[[#This Row],[Satisfaction Rating]],0)</f>
        <v>4</v>
      </c>
    </row>
    <row r="282" spans="2:12">
      <c r="B282" t="s">
        <v>304</v>
      </c>
      <c r="C282" t="s">
        <v>14</v>
      </c>
      <c r="D282">
        <v>118</v>
      </c>
      <c r="E282" s="17" t="s">
        <v>13</v>
      </c>
      <c r="F282" s="18">
        <v>45011</v>
      </c>
      <c r="G282">
        <v>99</v>
      </c>
      <c r="H282">
        <v>5</v>
      </c>
      <c r="I282">
        <f>IF(MONTH(calls[[#This Row],[Date of Call]])&lt;=6, YEAR(calls[[#This Row],[Date of Call]]), YEAR(calls[[#This Row],[Date of Call]])+1)</f>
        <v>2023</v>
      </c>
      <c r="J282" t="str">
        <f>TEXT(calls[[#This Row],[Date of Call]],"DDDD")</f>
        <v>Sunday</v>
      </c>
      <c r="K282" t="str" cm="1">
        <f t="array" ref="K2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2">
        <f>ROUND(calls[[#This Row],[Satisfaction Rating]],0)</f>
        <v>5</v>
      </c>
    </row>
    <row r="283" spans="2:12">
      <c r="B283" t="s">
        <v>305</v>
      </c>
      <c r="C283" t="s">
        <v>19</v>
      </c>
      <c r="D283">
        <v>75</v>
      </c>
      <c r="E283" s="17" t="s">
        <v>9</v>
      </c>
      <c r="F283" s="18">
        <v>45011</v>
      </c>
      <c r="G283">
        <v>135</v>
      </c>
      <c r="H283">
        <v>4.7</v>
      </c>
      <c r="I283">
        <f>IF(MONTH(calls[[#This Row],[Date of Call]])&lt;=6, YEAR(calls[[#This Row],[Date of Call]]), YEAR(calls[[#This Row],[Date of Call]])+1)</f>
        <v>2023</v>
      </c>
      <c r="J283" t="str">
        <f>TEXT(calls[[#This Row],[Date of Call]],"DDDD")</f>
        <v>Sunday</v>
      </c>
      <c r="K283" t="str" cm="1">
        <f t="array" ref="K2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3">
        <f>ROUND(calls[[#This Row],[Satisfaction Rating]],0)</f>
        <v>5</v>
      </c>
    </row>
    <row r="284" spans="2:12">
      <c r="B284" t="s">
        <v>306</v>
      </c>
      <c r="C284" t="s">
        <v>12</v>
      </c>
      <c r="D284">
        <v>103</v>
      </c>
      <c r="E284" s="17" t="s">
        <v>10</v>
      </c>
      <c r="F284" s="18">
        <v>45011</v>
      </c>
      <c r="G284">
        <v>42</v>
      </c>
      <c r="H284">
        <v>2.8</v>
      </c>
      <c r="I284">
        <f>IF(MONTH(calls[[#This Row],[Date of Call]])&lt;=6, YEAR(calls[[#This Row],[Date of Call]]), YEAR(calls[[#This Row],[Date of Call]])+1)</f>
        <v>2023</v>
      </c>
      <c r="J284" t="str">
        <f>TEXT(calls[[#This Row],[Date of Call]],"DDDD")</f>
        <v>Sunday</v>
      </c>
      <c r="K284" t="str" cm="1">
        <f t="array" ref="K2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4">
        <f>ROUND(calls[[#This Row],[Satisfaction Rating]],0)</f>
        <v>3</v>
      </c>
    </row>
    <row r="285" spans="2:12">
      <c r="B285" t="s">
        <v>307</v>
      </c>
      <c r="C285" t="s">
        <v>7</v>
      </c>
      <c r="D285">
        <v>116</v>
      </c>
      <c r="E285" s="17" t="s">
        <v>13</v>
      </c>
      <c r="F285" s="18">
        <v>45012</v>
      </c>
      <c r="G285">
        <v>63</v>
      </c>
      <c r="H285">
        <v>3.4</v>
      </c>
      <c r="I285">
        <f>IF(MONTH(calls[[#This Row],[Date of Call]])&lt;=6, YEAR(calls[[#This Row],[Date of Call]]), YEAR(calls[[#This Row],[Date of Call]])+1)</f>
        <v>2023</v>
      </c>
      <c r="J285" t="str">
        <f>TEXT(calls[[#This Row],[Date of Call]],"DDDD")</f>
        <v>Monday</v>
      </c>
      <c r="K285" t="str" cm="1">
        <f t="array" ref="K2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5">
        <f>ROUND(calls[[#This Row],[Satisfaction Rating]],0)</f>
        <v>3</v>
      </c>
    </row>
    <row r="286" spans="2:12">
      <c r="B286" t="s">
        <v>308</v>
      </c>
      <c r="C286" t="s">
        <v>15</v>
      </c>
      <c r="D286">
        <v>61</v>
      </c>
      <c r="E286" s="17" t="s">
        <v>11</v>
      </c>
      <c r="F286" s="18">
        <v>45012</v>
      </c>
      <c r="G286">
        <v>140</v>
      </c>
      <c r="H286">
        <v>1.8</v>
      </c>
      <c r="I286">
        <f>IF(MONTH(calls[[#This Row],[Date of Call]])&lt;=6, YEAR(calls[[#This Row],[Date of Call]]), YEAR(calls[[#This Row],[Date of Call]])+1)</f>
        <v>2023</v>
      </c>
      <c r="J286" t="str">
        <f>TEXT(calls[[#This Row],[Date of Call]],"DDDD")</f>
        <v>Monday</v>
      </c>
      <c r="K286" t="str" cm="1">
        <f t="array" ref="K2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6">
        <f>ROUND(calls[[#This Row],[Satisfaction Rating]],0)</f>
        <v>2</v>
      </c>
    </row>
    <row r="287" spans="2:12">
      <c r="B287" t="s">
        <v>309</v>
      </c>
      <c r="C287" t="s">
        <v>16</v>
      </c>
      <c r="D287">
        <v>126</v>
      </c>
      <c r="E287" s="17" t="s">
        <v>9</v>
      </c>
      <c r="F287" s="18">
        <v>45012</v>
      </c>
      <c r="G287">
        <v>128</v>
      </c>
      <c r="H287">
        <v>4.2</v>
      </c>
      <c r="I287">
        <f>IF(MONTH(calls[[#This Row],[Date of Call]])&lt;=6, YEAR(calls[[#This Row],[Date of Call]]), YEAR(calls[[#This Row],[Date of Call]])+1)</f>
        <v>2023</v>
      </c>
      <c r="J287" t="str">
        <f>TEXT(calls[[#This Row],[Date of Call]],"DDDD")</f>
        <v>Monday</v>
      </c>
      <c r="K287" t="str" cm="1">
        <f t="array" ref="K28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87">
        <f>ROUND(calls[[#This Row],[Satisfaction Rating]],0)</f>
        <v>4</v>
      </c>
    </row>
    <row r="288" spans="2:12">
      <c r="B288" t="s">
        <v>310</v>
      </c>
      <c r="C288" t="s">
        <v>24</v>
      </c>
      <c r="D288">
        <v>141</v>
      </c>
      <c r="E288" s="17" t="s">
        <v>6</v>
      </c>
      <c r="F288" s="18">
        <v>45012</v>
      </c>
      <c r="G288">
        <v>80</v>
      </c>
      <c r="H288">
        <v>4.4000000000000004</v>
      </c>
      <c r="I288">
        <f>IF(MONTH(calls[[#This Row],[Date of Call]])&lt;=6, YEAR(calls[[#This Row],[Date of Call]]), YEAR(calls[[#This Row],[Date of Call]])+1)</f>
        <v>2023</v>
      </c>
      <c r="J288" t="str">
        <f>TEXT(calls[[#This Row],[Date of Call]],"DDDD")</f>
        <v>Monday</v>
      </c>
      <c r="K288" t="str" cm="1">
        <f t="array" ref="K28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88">
        <f>ROUND(calls[[#This Row],[Satisfaction Rating]],0)</f>
        <v>4</v>
      </c>
    </row>
    <row r="289" spans="2:12">
      <c r="B289" t="s">
        <v>311</v>
      </c>
      <c r="C289" t="s">
        <v>8</v>
      </c>
      <c r="D289">
        <v>95</v>
      </c>
      <c r="E289" s="17" t="s">
        <v>13</v>
      </c>
      <c r="F289" s="18">
        <v>45012</v>
      </c>
      <c r="G289">
        <v>28</v>
      </c>
      <c r="H289">
        <v>2.7</v>
      </c>
      <c r="I289">
        <f>IF(MONTH(calls[[#This Row],[Date of Call]])&lt;=6, YEAR(calls[[#This Row],[Date of Call]]), YEAR(calls[[#This Row],[Date of Call]])+1)</f>
        <v>2023</v>
      </c>
      <c r="J289" t="str">
        <f>TEXT(calls[[#This Row],[Date of Call]],"DDDD")</f>
        <v>Monday</v>
      </c>
      <c r="K289" t="str" cm="1">
        <f t="array" ref="K2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9">
        <f>ROUND(calls[[#This Row],[Satisfaction Rating]],0)</f>
        <v>3</v>
      </c>
    </row>
    <row r="290" spans="2:12">
      <c r="B290" t="s">
        <v>312</v>
      </c>
      <c r="C290" t="s">
        <v>19</v>
      </c>
      <c r="D290">
        <v>39</v>
      </c>
      <c r="E290" s="17" t="s">
        <v>11</v>
      </c>
      <c r="F290" s="18">
        <v>45013</v>
      </c>
      <c r="G290">
        <v>81</v>
      </c>
      <c r="H290">
        <v>5</v>
      </c>
      <c r="I290">
        <f>IF(MONTH(calls[[#This Row],[Date of Call]])&lt;=6, YEAR(calls[[#This Row],[Date of Call]]), YEAR(calls[[#This Row],[Date of Call]])+1)</f>
        <v>2023</v>
      </c>
      <c r="J290" t="str">
        <f>TEXT(calls[[#This Row],[Date of Call]],"DDDD")</f>
        <v>Tuesday</v>
      </c>
      <c r="K290" t="str" cm="1">
        <f t="array" ref="K2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0">
        <f>ROUND(calls[[#This Row],[Satisfaction Rating]],0)</f>
        <v>5</v>
      </c>
    </row>
    <row r="291" spans="2:12">
      <c r="B291" t="s">
        <v>313</v>
      </c>
      <c r="C291" t="s">
        <v>12</v>
      </c>
      <c r="D291">
        <v>127</v>
      </c>
      <c r="E291" s="17" t="s">
        <v>9</v>
      </c>
      <c r="F291" s="18">
        <v>45013</v>
      </c>
      <c r="G291">
        <v>99</v>
      </c>
      <c r="H291">
        <v>3.9</v>
      </c>
      <c r="I291">
        <f>IF(MONTH(calls[[#This Row],[Date of Call]])&lt;=6, YEAR(calls[[#This Row],[Date of Call]]), YEAR(calls[[#This Row],[Date of Call]])+1)</f>
        <v>2023</v>
      </c>
      <c r="J291" t="str">
        <f>TEXT(calls[[#This Row],[Date of Call]],"DDDD")</f>
        <v>Tuesday</v>
      </c>
      <c r="K291" t="str" cm="1">
        <f t="array" ref="K29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91">
        <f>ROUND(calls[[#This Row],[Satisfaction Rating]],0)</f>
        <v>4</v>
      </c>
    </row>
    <row r="292" spans="2:12">
      <c r="B292" t="s">
        <v>314</v>
      </c>
      <c r="C292" t="s">
        <v>15</v>
      </c>
      <c r="D292">
        <v>78</v>
      </c>
      <c r="E292" s="17" t="s">
        <v>9</v>
      </c>
      <c r="F292" s="18">
        <v>45013</v>
      </c>
      <c r="G292">
        <v>43</v>
      </c>
      <c r="H292">
        <v>3.8</v>
      </c>
      <c r="I292">
        <f>IF(MONTH(calls[[#This Row],[Date of Call]])&lt;=6, YEAR(calls[[#This Row],[Date of Call]]), YEAR(calls[[#This Row],[Date of Call]])+1)</f>
        <v>2023</v>
      </c>
      <c r="J292" t="str">
        <f>TEXT(calls[[#This Row],[Date of Call]],"DDDD")</f>
        <v>Tuesday</v>
      </c>
      <c r="K292" t="str" cm="1">
        <f t="array" ref="K2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92">
        <f>ROUND(calls[[#This Row],[Satisfaction Rating]],0)</f>
        <v>4</v>
      </c>
    </row>
    <row r="293" spans="2:12">
      <c r="B293" t="s">
        <v>315</v>
      </c>
      <c r="C293" t="s">
        <v>14</v>
      </c>
      <c r="D293">
        <v>40</v>
      </c>
      <c r="E293" s="17" t="s">
        <v>9</v>
      </c>
      <c r="F293" s="18">
        <v>45013</v>
      </c>
      <c r="G293">
        <v>34</v>
      </c>
      <c r="H293">
        <v>4.5999999999999996</v>
      </c>
      <c r="I293">
        <f>IF(MONTH(calls[[#This Row],[Date of Call]])&lt;=6, YEAR(calls[[#This Row],[Date of Call]]), YEAR(calls[[#This Row],[Date of Call]])+1)</f>
        <v>2023</v>
      </c>
      <c r="J293" t="str">
        <f>TEXT(calls[[#This Row],[Date of Call]],"DDDD")</f>
        <v>Tuesday</v>
      </c>
      <c r="K293" t="str" cm="1">
        <f t="array" ref="K29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3">
        <f>ROUND(calls[[#This Row],[Satisfaction Rating]],0)</f>
        <v>5</v>
      </c>
    </row>
    <row r="294" spans="2:12">
      <c r="B294" t="s">
        <v>316</v>
      </c>
      <c r="C294" t="s">
        <v>15</v>
      </c>
      <c r="D294">
        <v>56</v>
      </c>
      <c r="E294" s="17" t="s">
        <v>11</v>
      </c>
      <c r="F294" s="18">
        <v>45013</v>
      </c>
      <c r="G294">
        <v>225</v>
      </c>
      <c r="H294">
        <v>4.5999999999999996</v>
      </c>
      <c r="I294">
        <f>IF(MONTH(calls[[#This Row],[Date of Call]])&lt;=6, YEAR(calls[[#This Row],[Date of Call]]), YEAR(calls[[#This Row],[Date of Call]])+1)</f>
        <v>2023</v>
      </c>
      <c r="J294" t="str">
        <f>TEXT(calls[[#This Row],[Date of Call]],"DDDD")</f>
        <v>Tuesday</v>
      </c>
      <c r="K294" t="str" cm="1">
        <f t="array" ref="K29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4">
        <f>ROUND(calls[[#This Row],[Satisfaction Rating]],0)</f>
        <v>5</v>
      </c>
    </row>
    <row r="295" spans="2:12">
      <c r="B295" t="s">
        <v>317</v>
      </c>
      <c r="C295" t="s">
        <v>19</v>
      </c>
      <c r="D295">
        <v>59</v>
      </c>
      <c r="E295" s="17" t="s">
        <v>6</v>
      </c>
      <c r="F295" s="18">
        <v>45013</v>
      </c>
      <c r="G295">
        <v>210</v>
      </c>
      <c r="H295">
        <v>4.5</v>
      </c>
      <c r="I295">
        <f>IF(MONTH(calls[[#This Row],[Date of Call]])&lt;=6, YEAR(calls[[#This Row],[Date of Call]]), YEAR(calls[[#This Row],[Date of Call]])+1)</f>
        <v>2023</v>
      </c>
      <c r="J295" t="str">
        <f>TEXT(calls[[#This Row],[Date of Call]],"DDDD")</f>
        <v>Tuesday</v>
      </c>
      <c r="K295" t="str" cm="1">
        <f t="array" ref="K2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5">
        <f>ROUND(calls[[#This Row],[Satisfaction Rating]],0)</f>
        <v>5</v>
      </c>
    </row>
    <row r="296" spans="2:12">
      <c r="B296" t="s">
        <v>318</v>
      </c>
      <c r="C296" t="s">
        <v>16</v>
      </c>
      <c r="D296">
        <v>30</v>
      </c>
      <c r="E296" s="17" t="s">
        <v>9</v>
      </c>
      <c r="F296" s="18">
        <v>45013</v>
      </c>
      <c r="G296">
        <v>168</v>
      </c>
      <c r="H296">
        <v>4.2</v>
      </c>
      <c r="I296">
        <f>IF(MONTH(calls[[#This Row],[Date of Call]])&lt;=6, YEAR(calls[[#This Row],[Date of Call]]), YEAR(calls[[#This Row],[Date of Call]])+1)</f>
        <v>2023</v>
      </c>
      <c r="J296" t="str">
        <f>TEXT(calls[[#This Row],[Date of Call]],"DDDD")</f>
        <v>Tuesday</v>
      </c>
      <c r="K296" t="str" cm="1">
        <f t="array" ref="K29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96">
        <f>ROUND(calls[[#This Row],[Satisfaction Rating]],0)</f>
        <v>4</v>
      </c>
    </row>
    <row r="297" spans="2:12">
      <c r="B297" t="s">
        <v>319</v>
      </c>
      <c r="C297" t="s">
        <v>14</v>
      </c>
      <c r="D297">
        <v>63</v>
      </c>
      <c r="E297" s="17" t="s">
        <v>10</v>
      </c>
      <c r="F297" s="18">
        <v>45014</v>
      </c>
      <c r="G297">
        <v>82</v>
      </c>
      <c r="H297">
        <v>4.5</v>
      </c>
      <c r="I297">
        <f>IF(MONTH(calls[[#This Row],[Date of Call]])&lt;=6, YEAR(calls[[#This Row],[Date of Call]]), YEAR(calls[[#This Row],[Date of Call]])+1)</f>
        <v>2023</v>
      </c>
      <c r="J297" t="str">
        <f>TEXT(calls[[#This Row],[Date of Call]],"DDDD")</f>
        <v>Wednesday</v>
      </c>
      <c r="K297" t="str" cm="1">
        <f t="array" ref="K2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97">
        <f>ROUND(calls[[#This Row],[Satisfaction Rating]],0)</f>
        <v>5</v>
      </c>
    </row>
    <row r="298" spans="2:12">
      <c r="B298" t="s">
        <v>320</v>
      </c>
      <c r="C298" t="s">
        <v>23</v>
      </c>
      <c r="D298">
        <v>56</v>
      </c>
      <c r="E298" s="17" t="s">
        <v>13</v>
      </c>
      <c r="F298" s="18">
        <v>45014</v>
      </c>
      <c r="G298">
        <v>88</v>
      </c>
      <c r="H298">
        <v>4.0999999999999996</v>
      </c>
      <c r="I298">
        <f>IF(MONTH(calls[[#This Row],[Date of Call]])&lt;=6, YEAR(calls[[#This Row],[Date of Call]]), YEAR(calls[[#This Row],[Date of Call]])+1)</f>
        <v>2023</v>
      </c>
      <c r="J298" t="str">
        <f>TEXT(calls[[#This Row],[Date of Call]],"DDDD")</f>
        <v>Wednesday</v>
      </c>
      <c r="K298" t="str" cm="1">
        <f t="array" ref="K29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8">
        <f>ROUND(calls[[#This Row],[Satisfaction Rating]],0)</f>
        <v>4</v>
      </c>
    </row>
    <row r="299" spans="2:12">
      <c r="B299" t="s">
        <v>321</v>
      </c>
      <c r="C299" t="s">
        <v>5</v>
      </c>
      <c r="D299">
        <v>95</v>
      </c>
      <c r="E299" s="17" t="s">
        <v>10</v>
      </c>
      <c r="F299" s="18">
        <v>45014</v>
      </c>
      <c r="G299">
        <v>111</v>
      </c>
      <c r="H299">
        <v>3.3</v>
      </c>
      <c r="I299">
        <f>IF(MONTH(calls[[#This Row],[Date of Call]])&lt;=6, YEAR(calls[[#This Row],[Date of Call]]), YEAR(calls[[#This Row],[Date of Call]])+1)</f>
        <v>2023</v>
      </c>
      <c r="J299" t="str">
        <f>TEXT(calls[[#This Row],[Date of Call]],"DDDD")</f>
        <v>Wednesday</v>
      </c>
      <c r="K299" t="str" cm="1">
        <f t="array" ref="K2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99">
        <f>ROUND(calls[[#This Row],[Satisfaction Rating]],0)</f>
        <v>3</v>
      </c>
    </row>
    <row r="300" spans="2:12">
      <c r="B300" t="s">
        <v>322</v>
      </c>
      <c r="C300" t="s">
        <v>17</v>
      </c>
      <c r="D300">
        <v>128</v>
      </c>
      <c r="E300" s="17" t="s">
        <v>6</v>
      </c>
      <c r="F300" s="18">
        <v>45014</v>
      </c>
      <c r="G300">
        <v>60</v>
      </c>
      <c r="H300">
        <v>3.8</v>
      </c>
      <c r="I300">
        <f>IF(MONTH(calls[[#This Row],[Date of Call]])&lt;=6, YEAR(calls[[#This Row],[Date of Call]]), YEAR(calls[[#This Row],[Date of Call]])+1)</f>
        <v>2023</v>
      </c>
      <c r="J300" t="str">
        <f>TEXT(calls[[#This Row],[Date of Call]],"DDDD")</f>
        <v>Wednesday</v>
      </c>
      <c r="K300" t="str" cm="1">
        <f t="array" ref="K30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00">
        <f>ROUND(calls[[#This Row],[Satisfaction Rating]],0)</f>
        <v>4</v>
      </c>
    </row>
    <row r="301" spans="2:12">
      <c r="B301" t="s">
        <v>323</v>
      </c>
      <c r="C301" t="s">
        <v>8</v>
      </c>
      <c r="D301">
        <v>49</v>
      </c>
      <c r="E301" s="17" t="s">
        <v>10</v>
      </c>
      <c r="F301" s="18">
        <v>45014</v>
      </c>
      <c r="G301">
        <v>80</v>
      </c>
      <c r="H301">
        <v>3</v>
      </c>
      <c r="I301">
        <f>IF(MONTH(calls[[#This Row],[Date of Call]])&lt;=6, YEAR(calls[[#This Row],[Date of Call]]), YEAR(calls[[#This Row],[Date of Call]])+1)</f>
        <v>2023</v>
      </c>
      <c r="J301" t="str">
        <f>TEXT(calls[[#This Row],[Date of Call]],"DDDD")</f>
        <v>Wednesday</v>
      </c>
      <c r="K301" t="str" cm="1">
        <f t="array" ref="K30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01">
        <f>ROUND(calls[[#This Row],[Satisfaction Rating]],0)</f>
        <v>3</v>
      </c>
    </row>
    <row r="302" spans="2:12">
      <c r="B302" t="s">
        <v>324</v>
      </c>
      <c r="C302" t="s">
        <v>17</v>
      </c>
      <c r="D302">
        <v>89</v>
      </c>
      <c r="E302" s="17" t="s">
        <v>11</v>
      </c>
      <c r="F302" s="18">
        <v>45016</v>
      </c>
      <c r="G302">
        <v>90</v>
      </c>
      <c r="H302">
        <v>4.5999999999999996</v>
      </c>
      <c r="I302">
        <f>IF(MONTH(calls[[#This Row],[Date of Call]])&lt;=6, YEAR(calls[[#This Row],[Date of Call]]), YEAR(calls[[#This Row],[Date of Call]])+1)</f>
        <v>2023</v>
      </c>
      <c r="J302" t="str">
        <f>TEXT(calls[[#This Row],[Date of Call]],"DDDD")</f>
        <v>Friday</v>
      </c>
      <c r="K302" t="str" cm="1">
        <f t="array" ref="K3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2">
        <f>ROUND(calls[[#This Row],[Satisfaction Rating]],0)</f>
        <v>5</v>
      </c>
    </row>
    <row r="303" spans="2:12">
      <c r="B303" t="s">
        <v>325</v>
      </c>
      <c r="C303" t="s">
        <v>22</v>
      </c>
      <c r="D303">
        <v>87</v>
      </c>
      <c r="E303" s="17" t="s">
        <v>10</v>
      </c>
      <c r="F303" s="18">
        <v>45016</v>
      </c>
      <c r="G303">
        <v>225</v>
      </c>
      <c r="H303">
        <v>2.9</v>
      </c>
      <c r="I303">
        <f>IF(MONTH(calls[[#This Row],[Date of Call]])&lt;=6, YEAR(calls[[#This Row],[Date of Call]]), YEAR(calls[[#This Row],[Date of Call]])+1)</f>
        <v>2023</v>
      </c>
      <c r="J303" t="str">
        <f>TEXT(calls[[#This Row],[Date of Call]],"DDDD")</f>
        <v>Friday</v>
      </c>
      <c r="K303" t="str" cm="1">
        <f t="array" ref="K3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3">
        <f>ROUND(calls[[#This Row],[Satisfaction Rating]],0)</f>
        <v>3</v>
      </c>
    </row>
    <row r="304" spans="2:12">
      <c r="B304" t="s">
        <v>326</v>
      </c>
      <c r="C304" t="s">
        <v>20</v>
      </c>
      <c r="D304">
        <v>60</v>
      </c>
      <c r="E304" s="17" t="s">
        <v>9</v>
      </c>
      <c r="F304" s="18">
        <v>45017</v>
      </c>
      <c r="G304">
        <v>215</v>
      </c>
      <c r="H304">
        <v>3.2</v>
      </c>
      <c r="I304">
        <f>IF(MONTH(calls[[#This Row],[Date of Call]])&lt;=6, YEAR(calls[[#This Row],[Date of Call]]), YEAR(calls[[#This Row],[Date of Call]])+1)</f>
        <v>2023</v>
      </c>
      <c r="J304" t="str">
        <f>TEXT(calls[[#This Row],[Date of Call]],"DDDD")</f>
        <v>Saturday</v>
      </c>
      <c r="K304" t="str" cm="1">
        <f t="array" ref="K30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04">
        <f>ROUND(calls[[#This Row],[Satisfaction Rating]],0)</f>
        <v>3</v>
      </c>
    </row>
    <row r="305" spans="2:12">
      <c r="B305" t="s">
        <v>327</v>
      </c>
      <c r="C305" t="s">
        <v>21</v>
      </c>
      <c r="D305">
        <v>42</v>
      </c>
      <c r="E305" s="17" t="s">
        <v>11</v>
      </c>
      <c r="F305" s="18">
        <v>45017</v>
      </c>
      <c r="G305">
        <v>45</v>
      </c>
      <c r="H305">
        <v>1.5</v>
      </c>
      <c r="I305">
        <f>IF(MONTH(calls[[#This Row],[Date of Call]])&lt;=6, YEAR(calls[[#This Row],[Date of Call]]), YEAR(calls[[#This Row],[Date of Call]])+1)</f>
        <v>2023</v>
      </c>
      <c r="J305" t="str">
        <f>TEXT(calls[[#This Row],[Date of Call]],"DDDD")</f>
        <v>Saturday</v>
      </c>
      <c r="K305" t="str" cm="1">
        <f t="array" ref="K30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05">
        <f>ROUND(calls[[#This Row],[Satisfaction Rating]],0)</f>
        <v>2</v>
      </c>
    </row>
    <row r="306" spans="2:12">
      <c r="B306" t="s">
        <v>328</v>
      </c>
      <c r="C306" t="s">
        <v>18</v>
      </c>
      <c r="D306">
        <v>99</v>
      </c>
      <c r="E306" s="17" t="s">
        <v>9</v>
      </c>
      <c r="F306" s="18">
        <v>45017</v>
      </c>
      <c r="G306">
        <v>74</v>
      </c>
      <c r="H306">
        <v>4</v>
      </c>
      <c r="I306">
        <f>IF(MONTH(calls[[#This Row],[Date of Call]])&lt;=6, YEAR(calls[[#This Row],[Date of Call]]), YEAR(calls[[#This Row],[Date of Call]])+1)</f>
        <v>2023</v>
      </c>
      <c r="J306" t="str">
        <f>TEXT(calls[[#This Row],[Date of Call]],"DDDD")</f>
        <v>Saturday</v>
      </c>
      <c r="K306" t="str" cm="1">
        <f t="array" ref="K3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6">
        <f>ROUND(calls[[#This Row],[Satisfaction Rating]],0)</f>
        <v>4</v>
      </c>
    </row>
    <row r="307" spans="2:12">
      <c r="B307" t="s">
        <v>329</v>
      </c>
      <c r="C307" t="s">
        <v>23</v>
      </c>
      <c r="D307">
        <v>20</v>
      </c>
      <c r="E307" s="17" t="s">
        <v>11</v>
      </c>
      <c r="F307" s="18">
        <v>45017</v>
      </c>
      <c r="G307">
        <v>60</v>
      </c>
      <c r="H307">
        <v>3.6</v>
      </c>
      <c r="I307">
        <f>IF(MONTH(calls[[#This Row],[Date of Call]])&lt;=6, YEAR(calls[[#This Row],[Date of Call]]), YEAR(calls[[#This Row],[Date of Call]])+1)</f>
        <v>2023</v>
      </c>
      <c r="J307" t="str">
        <f>TEXT(calls[[#This Row],[Date of Call]],"DDDD")</f>
        <v>Saturday</v>
      </c>
      <c r="K307" t="str" cm="1">
        <f t="array" ref="K30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07">
        <f>ROUND(calls[[#This Row],[Satisfaction Rating]],0)</f>
        <v>4</v>
      </c>
    </row>
    <row r="308" spans="2:12">
      <c r="B308" t="s">
        <v>330</v>
      </c>
      <c r="C308" t="s">
        <v>14</v>
      </c>
      <c r="D308">
        <v>65</v>
      </c>
      <c r="E308" s="17" t="s">
        <v>9</v>
      </c>
      <c r="F308" s="18">
        <v>45017</v>
      </c>
      <c r="G308">
        <v>64</v>
      </c>
      <c r="H308">
        <v>3.7</v>
      </c>
      <c r="I308">
        <f>IF(MONTH(calls[[#This Row],[Date of Call]])&lt;=6, YEAR(calls[[#This Row],[Date of Call]]), YEAR(calls[[#This Row],[Date of Call]])+1)</f>
        <v>2023</v>
      </c>
      <c r="J308" t="str">
        <f>TEXT(calls[[#This Row],[Date of Call]],"DDDD")</f>
        <v>Saturday</v>
      </c>
      <c r="K308" t="str" cm="1">
        <f t="array" ref="K3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8">
        <f>ROUND(calls[[#This Row],[Satisfaction Rating]],0)</f>
        <v>4</v>
      </c>
    </row>
    <row r="309" spans="2:12">
      <c r="B309" t="s">
        <v>331</v>
      </c>
      <c r="C309" t="s">
        <v>16</v>
      </c>
      <c r="D309">
        <v>71</v>
      </c>
      <c r="E309" s="17" t="s">
        <v>10</v>
      </c>
      <c r="F309" s="18">
        <v>45018</v>
      </c>
      <c r="G309">
        <v>110</v>
      </c>
      <c r="H309">
        <v>4.8</v>
      </c>
      <c r="I309">
        <f>IF(MONTH(calls[[#This Row],[Date of Call]])&lt;=6, YEAR(calls[[#This Row],[Date of Call]]), YEAR(calls[[#This Row],[Date of Call]])+1)</f>
        <v>2023</v>
      </c>
      <c r="J309" t="str">
        <f>TEXT(calls[[#This Row],[Date of Call]],"DDDD")</f>
        <v>Sunday</v>
      </c>
      <c r="K309" t="str" cm="1">
        <f t="array" ref="K3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9">
        <f>ROUND(calls[[#This Row],[Satisfaction Rating]],0)</f>
        <v>5</v>
      </c>
    </row>
    <row r="310" spans="2:12">
      <c r="B310" t="s">
        <v>332</v>
      </c>
      <c r="C310" t="s">
        <v>12</v>
      </c>
      <c r="D310">
        <v>95</v>
      </c>
      <c r="E310" s="17" t="s">
        <v>6</v>
      </c>
      <c r="F310" s="18">
        <v>45018</v>
      </c>
      <c r="G310">
        <v>52</v>
      </c>
      <c r="H310">
        <v>1.2</v>
      </c>
      <c r="I310">
        <f>IF(MONTH(calls[[#This Row],[Date of Call]])&lt;=6, YEAR(calls[[#This Row],[Date of Call]]), YEAR(calls[[#This Row],[Date of Call]])+1)</f>
        <v>2023</v>
      </c>
      <c r="J310" t="str">
        <f>TEXT(calls[[#This Row],[Date of Call]],"DDDD")</f>
        <v>Sunday</v>
      </c>
      <c r="K310" t="str" cm="1">
        <f t="array" ref="K3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0">
        <f>ROUND(calls[[#This Row],[Satisfaction Rating]],0)</f>
        <v>1</v>
      </c>
    </row>
    <row r="311" spans="2:12">
      <c r="B311" t="s">
        <v>333</v>
      </c>
      <c r="C311" t="s">
        <v>23</v>
      </c>
      <c r="D311">
        <v>81</v>
      </c>
      <c r="E311" s="17" t="s">
        <v>13</v>
      </c>
      <c r="F311" s="18">
        <v>45019</v>
      </c>
      <c r="G311">
        <v>160</v>
      </c>
      <c r="H311">
        <v>4.7</v>
      </c>
      <c r="I311">
        <f>IF(MONTH(calls[[#This Row],[Date of Call]])&lt;=6, YEAR(calls[[#This Row],[Date of Call]]), YEAR(calls[[#This Row],[Date of Call]])+1)</f>
        <v>2023</v>
      </c>
      <c r="J311" t="str">
        <f>TEXT(calls[[#This Row],[Date of Call]],"DDDD")</f>
        <v>Monday</v>
      </c>
      <c r="K311" t="str" cm="1">
        <f t="array" ref="K3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1">
        <f>ROUND(calls[[#This Row],[Satisfaction Rating]],0)</f>
        <v>5</v>
      </c>
    </row>
    <row r="312" spans="2:12">
      <c r="B312" t="s">
        <v>334</v>
      </c>
      <c r="C312" t="s">
        <v>7</v>
      </c>
      <c r="D312">
        <v>137</v>
      </c>
      <c r="E312" s="17" t="s">
        <v>13</v>
      </c>
      <c r="F312" s="18">
        <v>45019</v>
      </c>
      <c r="G312">
        <v>215</v>
      </c>
      <c r="H312">
        <v>4.7</v>
      </c>
      <c r="I312">
        <f>IF(MONTH(calls[[#This Row],[Date of Call]])&lt;=6, YEAR(calls[[#This Row],[Date of Call]]), YEAR(calls[[#This Row],[Date of Call]])+1)</f>
        <v>2023</v>
      </c>
      <c r="J312" t="str">
        <f>TEXT(calls[[#This Row],[Date of Call]],"DDDD")</f>
        <v>Monday</v>
      </c>
      <c r="K312" t="str" cm="1">
        <f t="array" ref="K31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12">
        <f>ROUND(calls[[#This Row],[Satisfaction Rating]],0)</f>
        <v>5</v>
      </c>
    </row>
    <row r="313" spans="2:12">
      <c r="B313" t="s">
        <v>335</v>
      </c>
      <c r="C313" t="s">
        <v>7</v>
      </c>
      <c r="D313">
        <v>40</v>
      </c>
      <c r="E313" s="17" t="s">
        <v>6</v>
      </c>
      <c r="F313" s="18">
        <v>45019</v>
      </c>
      <c r="G313">
        <v>220</v>
      </c>
      <c r="H313">
        <v>4.5</v>
      </c>
      <c r="I313">
        <f>IF(MONTH(calls[[#This Row],[Date of Call]])&lt;=6, YEAR(calls[[#This Row],[Date of Call]]), YEAR(calls[[#This Row],[Date of Call]])+1)</f>
        <v>2023</v>
      </c>
      <c r="J313" t="str">
        <f>TEXT(calls[[#This Row],[Date of Call]],"DDDD")</f>
        <v>Monday</v>
      </c>
      <c r="K313" t="str" cm="1">
        <f t="array" ref="K31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13">
        <f>ROUND(calls[[#This Row],[Satisfaction Rating]],0)</f>
        <v>5</v>
      </c>
    </row>
    <row r="314" spans="2:12">
      <c r="B314" t="s">
        <v>336</v>
      </c>
      <c r="C314" t="s">
        <v>18</v>
      </c>
      <c r="D314">
        <v>111</v>
      </c>
      <c r="E314" s="17" t="s">
        <v>9</v>
      </c>
      <c r="F314" s="18">
        <v>45020</v>
      </c>
      <c r="G314">
        <v>175</v>
      </c>
      <c r="H314">
        <v>3.5</v>
      </c>
      <c r="I314">
        <f>IF(MONTH(calls[[#This Row],[Date of Call]])&lt;=6, YEAR(calls[[#This Row],[Date of Call]]), YEAR(calls[[#This Row],[Date of Call]])+1)</f>
        <v>2023</v>
      </c>
      <c r="J314" t="str">
        <f>TEXT(calls[[#This Row],[Date of Call]],"DDDD")</f>
        <v>Tuesday</v>
      </c>
      <c r="K314" t="str" cm="1">
        <f t="array" ref="K3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4">
        <f>ROUND(calls[[#This Row],[Satisfaction Rating]],0)</f>
        <v>4</v>
      </c>
    </row>
    <row r="315" spans="2:12">
      <c r="B315" t="s">
        <v>337</v>
      </c>
      <c r="C315" t="s">
        <v>16</v>
      </c>
      <c r="D315">
        <v>106</v>
      </c>
      <c r="E315" s="17" t="s">
        <v>9</v>
      </c>
      <c r="F315" s="18">
        <v>45020</v>
      </c>
      <c r="G315">
        <v>145</v>
      </c>
      <c r="H315">
        <v>4.0999999999999996</v>
      </c>
      <c r="I315">
        <f>IF(MONTH(calls[[#This Row],[Date of Call]])&lt;=6, YEAR(calls[[#This Row],[Date of Call]]), YEAR(calls[[#This Row],[Date of Call]])+1)</f>
        <v>2023</v>
      </c>
      <c r="J315" t="str">
        <f>TEXT(calls[[#This Row],[Date of Call]],"DDDD")</f>
        <v>Tuesday</v>
      </c>
      <c r="K315" t="str" cm="1">
        <f t="array" ref="K3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5">
        <f>ROUND(calls[[#This Row],[Satisfaction Rating]],0)</f>
        <v>4</v>
      </c>
    </row>
    <row r="316" spans="2:12">
      <c r="B316" t="s">
        <v>338</v>
      </c>
      <c r="C316" t="s">
        <v>21</v>
      </c>
      <c r="D316">
        <v>133</v>
      </c>
      <c r="E316" s="17" t="s">
        <v>11</v>
      </c>
      <c r="F316" s="18">
        <v>45020</v>
      </c>
      <c r="G316">
        <v>72</v>
      </c>
      <c r="H316">
        <v>4.4000000000000004</v>
      </c>
      <c r="I316">
        <f>IF(MONTH(calls[[#This Row],[Date of Call]])&lt;=6, YEAR(calls[[#This Row],[Date of Call]]), YEAR(calls[[#This Row],[Date of Call]])+1)</f>
        <v>2023</v>
      </c>
      <c r="J316" t="str">
        <f>TEXT(calls[[#This Row],[Date of Call]],"DDDD")</f>
        <v>Tuesday</v>
      </c>
      <c r="K316" t="str" cm="1">
        <f t="array" ref="K31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16">
        <f>ROUND(calls[[#This Row],[Satisfaction Rating]],0)</f>
        <v>4</v>
      </c>
    </row>
    <row r="317" spans="2:12">
      <c r="B317" t="s">
        <v>339</v>
      </c>
      <c r="C317" t="s">
        <v>15</v>
      </c>
      <c r="D317">
        <v>38</v>
      </c>
      <c r="E317" s="17" t="s">
        <v>9</v>
      </c>
      <c r="F317" s="18">
        <v>45021</v>
      </c>
      <c r="G317">
        <v>81</v>
      </c>
      <c r="H317">
        <v>3.6</v>
      </c>
      <c r="I317">
        <f>IF(MONTH(calls[[#This Row],[Date of Call]])&lt;=6, YEAR(calls[[#This Row],[Date of Call]]), YEAR(calls[[#This Row],[Date of Call]])+1)</f>
        <v>2023</v>
      </c>
      <c r="J317" t="str">
        <f>TEXT(calls[[#This Row],[Date of Call]],"DDDD")</f>
        <v>Wednesday</v>
      </c>
      <c r="K317" t="str" cm="1">
        <f t="array" ref="K31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17">
        <f>ROUND(calls[[#This Row],[Satisfaction Rating]],0)</f>
        <v>4</v>
      </c>
    </row>
    <row r="318" spans="2:12">
      <c r="B318" t="s">
        <v>340</v>
      </c>
      <c r="C318" t="s">
        <v>19</v>
      </c>
      <c r="D318">
        <v>130</v>
      </c>
      <c r="E318" s="17" t="s">
        <v>6</v>
      </c>
      <c r="F318" s="18">
        <v>45021</v>
      </c>
      <c r="G318">
        <v>54</v>
      </c>
      <c r="H318">
        <v>4.0999999999999996</v>
      </c>
      <c r="I318">
        <f>IF(MONTH(calls[[#This Row],[Date of Call]])&lt;=6, YEAR(calls[[#This Row],[Date of Call]]), YEAR(calls[[#This Row],[Date of Call]])+1)</f>
        <v>2023</v>
      </c>
      <c r="J318" t="str">
        <f>TEXT(calls[[#This Row],[Date of Call]],"DDDD")</f>
        <v>Wednesday</v>
      </c>
      <c r="K318" t="str" cm="1">
        <f t="array" ref="K31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18">
        <f>ROUND(calls[[#This Row],[Satisfaction Rating]],0)</f>
        <v>4</v>
      </c>
    </row>
    <row r="319" spans="2:12">
      <c r="B319" t="s">
        <v>341</v>
      </c>
      <c r="C319" t="s">
        <v>14</v>
      </c>
      <c r="D319">
        <v>23</v>
      </c>
      <c r="E319" s="17" t="s">
        <v>11</v>
      </c>
      <c r="F319" s="18">
        <v>45021</v>
      </c>
      <c r="G319">
        <v>105</v>
      </c>
      <c r="H319">
        <v>4.8</v>
      </c>
      <c r="I319">
        <f>IF(MONTH(calls[[#This Row],[Date of Call]])&lt;=6, YEAR(calls[[#This Row],[Date of Call]]), YEAR(calls[[#This Row],[Date of Call]])+1)</f>
        <v>2023</v>
      </c>
      <c r="J319" t="str">
        <f>TEXT(calls[[#This Row],[Date of Call]],"DDDD")</f>
        <v>Wednesday</v>
      </c>
      <c r="K319" t="str" cm="1">
        <f t="array" ref="K31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19">
        <f>ROUND(calls[[#This Row],[Satisfaction Rating]],0)</f>
        <v>5</v>
      </c>
    </row>
    <row r="320" spans="2:12">
      <c r="B320" t="s">
        <v>342</v>
      </c>
      <c r="C320" t="s">
        <v>19</v>
      </c>
      <c r="D320">
        <v>124</v>
      </c>
      <c r="E320" s="17" t="s">
        <v>9</v>
      </c>
      <c r="F320" s="18">
        <v>45022</v>
      </c>
      <c r="G320">
        <v>176</v>
      </c>
      <c r="H320">
        <v>3.9</v>
      </c>
      <c r="I320">
        <f>IF(MONTH(calls[[#This Row],[Date of Call]])&lt;=6, YEAR(calls[[#This Row],[Date of Call]]), YEAR(calls[[#This Row],[Date of Call]])+1)</f>
        <v>2023</v>
      </c>
      <c r="J320" t="str">
        <f>TEXT(calls[[#This Row],[Date of Call]],"DDDD")</f>
        <v>Thursday</v>
      </c>
      <c r="K320" t="str" cm="1">
        <f t="array" ref="K32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20">
        <f>ROUND(calls[[#This Row],[Satisfaction Rating]],0)</f>
        <v>4</v>
      </c>
    </row>
    <row r="321" spans="2:12">
      <c r="B321" t="s">
        <v>343</v>
      </c>
      <c r="C321" t="s">
        <v>23</v>
      </c>
      <c r="D321">
        <v>107</v>
      </c>
      <c r="E321" s="17" t="s">
        <v>9</v>
      </c>
      <c r="F321" s="18">
        <v>45022</v>
      </c>
      <c r="G321">
        <v>115</v>
      </c>
      <c r="H321">
        <v>3.8</v>
      </c>
      <c r="I321">
        <f>IF(MONTH(calls[[#This Row],[Date of Call]])&lt;=6, YEAR(calls[[#This Row],[Date of Call]]), YEAR(calls[[#This Row],[Date of Call]])+1)</f>
        <v>2023</v>
      </c>
      <c r="J321" t="str">
        <f>TEXT(calls[[#This Row],[Date of Call]],"DDDD")</f>
        <v>Thursday</v>
      </c>
      <c r="K321" t="str" cm="1">
        <f t="array" ref="K3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1">
        <f>ROUND(calls[[#This Row],[Satisfaction Rating]],0)</f>
        <v>4</v>
      </c>
    </row>
    <row r="322" spans="2:12">
      <c r="B322" t="s">
        <v>344</v>
      </c>
      <c r="C322" t="s">
        <v>7</v>
      </c>
      <c r="D322">
        <v>60</v>
      </c>
      <c r="E322" s="17" t="s">
        <v>10</v>
      </c>
      <c r="F322" s="18">
        <v>45022</v>
      </c>
      <c r="G322">
        <v>116</v>
      </c>
      <c r="H322">
        <v>3.9</v>
      </c>
      <c r="I322">
        <f>IF(MONTH(calls[[#This Row],[Date of Call]])&lt;=6, YEAR(calls[[#This Row],[Date of Call]]), YEAR(calls[[#This Row],[Date of Call]])+1)</f>
        <v>2023</v>
      </c>
      <c r="J322" t="str">
        <f>TEXT(calls[[#This Row],[Date of Call]],"DDDD")</f>
        <v>Thursday</v>
      </c>
      <c r="K322" t="str" cm="1">
        <f t="array" ref="K3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22">
        <f>ROUND(calls[[#This Row],[Satisfaction Rating]],0)</f>
        <v>4</v>
      </c>
    </row>
    <row r="323" spans="2:12">
      <c r="B323" t="s">
        <v>345</v>
      </c>
      <c r="C323" t="s">
        <v>7</v>
      </c>
      <c r="D323">
        <v>158</v>
      </c>
      <c r="E323" s="17" t="s">
        <v>6</v>
      </c>
      <c r="F323" s="18">
        <v>45022</v>
      </c>
      <c r="G323">
        <v>100</v>
      </c>
      <c r="H323">
        <v>4.0999999999999996</v>
      </c>
      <c r="I323">
        <f>IF(MONTH(calls[[#This Row],[Date of Call]])&lt;=6, YEAR(calls[[#This Row],[Date of Call]]), YEAR(calls[[#This Row],[Date of Call]])+1)</f>
        <v>2023</v>
      </c>
      <c r="J323" t="str">
        <f>TEXT(calls[[#This Row],[Date of Call]],"DDDD")</f>
        <v>Thursday</v>
      </c>
      <c r="K323" t="str" cm="1">
        <f t="array" ref="K32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23">
        <f>ROUND(calls[[#This Row],[Satisfaction Rating]],0)</f>
        <v>4</v>
      </c>
    </row>
    <row r="324" spans="2:12">
      <c r="B324" t="s">
        <v>346</v>
      </c>
      <c r="C324" t="s">
        <v>22</v>
      </c>
      <c r="D324">
        <v>110</v>
      </c>
      <c r="E324" s="17" t="s">
        <v>6</v>
      </c>
      <c r="F324" s="18">
        <v>45023</v>
      </c>
      <c r="G324">
        <v>36</v>
      </c>
      <c r="H324">
        <v>2.2000000000000002</v>
      </c>
      <c r="I324">
        <f>IF(MONTH(calls[[#This Row],[Date of Call]])&lt;=6, YEAR(calls[[#This Row],[Date of Call]]), YEAR(calls[[#This Row],[Date of Call]])+1)</f>
        <v>2023</v>
      </c>
      <c r="J324" t="str">
        <f>TEXT(calls[[#This Row],[Date of Call]],"DDDD")</f>
        <v>Friday</v>
      </c>
      <c r="K324" t="str" cm="1">
        <f t="array" ref="K32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4">
        <f>ROUND(calls[[#This Row],[Satisfaction Rating]],0)</f>
        <v>2</v>
      </c>
    </row>
    <row r="325" spans="2:12">
      <c r="B325" t="s">
        <v>347</v>
      </c>
      <c r="C325" t="s">
        <v>17</v>
      </c>
      <c r="D325">
        <v>70</v>
      </c>
      <c r="E325" s="17" t="s">
        <v>6</v>
      </c>
      <c r="F325" s="18">
        <v>45023</v>
      </c>
      <c r="G325">
        <v>114</v>
      </c>
      <c r="H325">
        <v>5</v>
      </c>
      <c r="I325">
        <f>IF(MONTH(calls[[#This Row],[Date of Call]])&lt;=6, YEAR(calls[[#This Row],[Date of Call]]), YEAR(calls[[#This Row],[Date of Call]])+1)</f>
        <v>2023</v>
      </c>
      <c r="J325" t="str">
        <f>TEXT(calls[[#This Row],[Date of Call]],"DDDD")</f>
        <v>Friday</v>
      </c>
      <c r="K325" t="str" cm="1">
        <f t="array" ref="K3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5">
        <f>ROUND(calls[[#This Row],[Satisfaction Rating]],0)</f>
        <v>5</v>
      </c>
    </row>
    <row r="326" spans="2:12">
      <c r="B326" t="s">
        <v>348</v>
      </c>
      <c r="C326" t="s">
        <v>17</v>
      </c>
      <c r="D326">
        <v>150</v>
      </c>
      <c r="E326" s="17" t="s">
        <v>10</v>
      </c>
      <c r="F326" s="18">
        <v>45023</v>
      </c>
      <c r="G326">
        <v>24</v>
      </c>
      <c r="H326">
        <v>3.8</v>
      </c>
      <c r="I326">
        <f>IF(MONTH(calls[[#This Row],[Date of Call]])&lt;=6, YEAR(calls[[#This Row],[Date of Call]]), YEAR(calls[[#This Row],[Date of Call]])+1)</f>
        <v>2023</v>
      </c>
      <c r="J326" t="str">
        <f>TEXT(calls[[#This Row],[Date of Call]],"DDDD")</f>
        <v>Friday</v>
      </c>
      <c r="K326" t="str" cm="1">
        <f t="array" ref="K3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26">
        <f>ROUND(calls[[#This Row],[Satisfaction Rating]],0)</f>
        <v>4</v>
      </c>
    </row>
    <row r="327" spans="2:12">
      <c r="B327" t="s">
        <v>349</v>
      </c>
      <c r="C327" t="s">
        <v>15</v>
      </c>
      <c r="D327">
        <v>36</v>
      </c>
      <c r="E327" s="17" t="s">
        <v>9</v>
      </c>
      <c r="F327" s="18">
        <v>45023</v>
      </c>
      <c r="G327">
        <v>135</v>
      </c>
      <c r="H327">
        <v>4.5999999999999996</v>
      </c>
      <c r="I327">
        <f>IF(MONTH(calls[[#This Row],[Date of Call]])&lt;=6, YEAR(calls[[#This Row],[Date of Call]]), YEAR(calls[[#This Row],[Date of Call]])+1)</f>
        <v>2023</v>
      </c>
      <c r="J327" t="str">
        <f>TEXT(calls[[#This Row],[Date of Call]],"DDDD")</f>
        <v>Friday</v>
      </c>
      <c r="K327" t="str" cm="1">
        <f t="array" ref="K32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27">
        <f>ROUND(calls[[#This Row],[Satisfaction Rating]],0)</f>
        <v>5</v>
      </c>
    </row>
    <row r="328" spans="2:12">
      <c r="B328" t="s">
        <v>350</v>
      </c>
      <c r="C328" t="s">
        <v>19</v>
      </c>
      <c r="D328">
        <v>74</v>
      </c>
      <c r="E328" s="17" t="s">
        <v>9</v>
      </c>
      <c r="F328" s="18">
        <v>45023</v>
      </c>
      <c r="G328">
        <v>30</v>
      </c>
      <c r="H328">
        <v>4</v>
      </c>
      <c r="I328">
        <f>IF(MONTH(calls[[#This Row],[Date of Call]])&lt;=6, YEAR(calls[[#This Row],[Date of Call]]), YEAR(calls[[#This Row],[Date of Call]])+1)</f>
        <v>2023</v>
      </c>
      <c r="J328" t="str">
        <f>TEXT(calls[[#This Row],[Date of Call]],"DDDD")</f>
        <v>Friday</v>
      </c>
      <c r="K328" t="str" cm="1">
        <f t="array" ref="K3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8">
        <f>ROUND(calls[[#This Row],[Satisfaction Rating]],0)</f>
        <v>4</v>
      </c>
    </row>
    <row r="329" spans="2:12">
      <c r="B329" t="s">
        <v>351</v>
      </c>
      <c r="C329" t="s">
        <v>12</v>
      </c>
      <c r="D329">
        <v>75</v>
      </c>
      <c r="E329" s="17" t="s">
        <v>9</v>
      </c>
      <c r="F329" s="18">
        <v>45023</v>
      </c>
      <c r="G329">
        <v>84</v>
      </c>
      <c r="H329">
        <v>2.8</v>
      </c>
      <c r="I329">
        <f>IF(MONTH(calls[[#This Row],[Date of Call]])&lt;=6, YEAR(calls[[#This Row],[Date of Call]]), YEAR(calls[[#This Row],[Date of Call]])+1)</f>
        <v>2023</v>
      </c>
      <c r="J329" t="str">
        <f>TEXT(calls[[#This Row],[Date of Call]],"DDDD")</f>
        <v>Friday</v>
      </c>
      <c r="K329" t="str" cm="1">
        <f t="array" ref="K3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9">
        <f>ROUND(calls[[#This Row],[Satisfaction Rating]],0)</f>
        <v>3</v>
      </c>
    </row>
    <row r="330" spans="2:12">
      <c r="B330" t="s">
        <v>352</v>
      </c>
      <c r="C330" t="s">
        <v>5</v>
      </c>
      <c r="D330">
        <v>70</v>
      </c>
      <c r="E330" s="17" t="s">
        <v>13</v>
      </c>
      <c r="F330" s="18">
        <v>45023</v>
      </c>
      <c r="G330">
        <v>42</v>
      </c>
      <c r="H330">
        <v>4.4000000000000004</v>
      </c>
      <c r="I330">
        <f>IF(MONTH(calls[[#This Row],[Date of Call]])&lt;=6, YEAR(calls[[#This Row],[Date of Call]]), YEAR(calls[[#This Row],[Date of Call]])+1)</f>
        <v>2023</v>
      </c>
      <c r="J330" t="str">
        <f>TEXT(calls[[#This Row],[Date of Call]],"DDDD")</f>
        <v>Friday</v>
      </c>
      <c r="K330" t="str" cm="1">
        <f t="array" ref="K3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0">
        <f>ROUND(calls[[#This Row],[Satisfaction Rating]],0)</f>
        <v>4</v>
      </c>
    </row>
    <row r="331" spans="2:12">
      <c r="B331" t="s">
        <v>353</v>
      </c>
      <c r="C331" t="s">
        <v>22</v>
      </c>
      <c r="D331">
        <v>23</v>
      </c>
      <c r="E331" s="17" t="s">
        <v>6</v>
      </c>
      <c r="F331" s="18">
        <v>45023</v>
      </c>
      <c r="G331">
        <v>117</v>
      </c>
      <c r="H331">
        <v>2.4</v>
      </c>
      <c r="I331">
        <f>IF(MONTH(calls[[#This Row],[Date of Call]])&lt;=6, YEAR(calls[[#This Row],[Date of Call]]), YEAR(calls[[#This Row],[Date of Call]])+1)</f>
        <v>2023</v>
      </c>
      <c r="J331" t="str">
        <f>TEXT(calls[[#This Row],[Date of Call]],"DDDD")</f>
        <v>Friday</v>
      </c>
      <c r="K331" t="str" cm="1">
        <f t="array" ref="K33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31">
        <f>ROUND(calls[[#This Row],[Satisfaction Rating]],0)</f>
        <v>2</v>
      </c>
    </row>
    <row r="332" spans="2:12">
      <c r="B332" t="s">
        <v>354</v>
      </c>
      <c r="C332" t="s">
        <v>18</v>
      </c>
      <c r="D332">
        <v>104</v>
      </c>
      <c r="E332" s="17" t="s">
        <v>11</v>
      </c>
      <c r="F332" s="18">
        <v>45023</v>
      </c>
      <c r="G332">
        <v>164</v>
      </c>
      <c r="H332">
        <v>4</v>
      </c>
      <c r="I332">
        <f>IF(MONTH(calls[[#This Row],[Date of Call]])&lt;=6, YEAR(calls[[#This Row],[Date of Call]]), YEAR(calls[[#This Row],[Date of Call]])+1)</f>
        <v>2023</v>
      </c>
      <c r="J332" t="str">
        <f>TEXT(calls[[#This Row],[Date of Call]],"DDDD")</f>
        <v>Friday</v>
      </c>
      <c r="K332" t="str" cm="1">
        <f t="array" ref="K33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2">
        <f>ROUND(calls[[#This Row],[Satisfaction Rating]],0)</f>
        <v>4</v>
      </c>
    </row>
    <row r="333" spans="2:12">
      <c r="B333" t="s">
        <v>355</v>
      </c>
      <c r="C333" t="s">
        <v>17</v>
      </c>
      <c r="D333">
        <v>95</v>
      </c>
      <c r="E333" s="17" t="s">
        <v>13</v>
      </c>
      <c r="F333" s="18">
        <v>45024</v>
      </c>
      <c r="G333">
        <v>123</v>
      </c>
      <c r="H333">
        <v>4.4000000000000004</v>
      </c>
      <c r="I333">
        <f>IF(MONTH(calls[[#This Row],[Date of Call]])&lt;=6, YEAR(calls[[#This Row],[Date of Call]]), YEAR(calls[[#This Row],[Date of Call]])+1)</f>
        <v>2023</v>
      </c>
      <c r="J333" t="str">
        <f>TEXT(calls[[#This Row],[Date of Call]],"DDDD")</f>
        <v>Saturday</v>
      </c>
      <c r="K333" t="str" cm="1">
        <f t="array" ref="K3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3">
        <f>ROUND(calls[[#This Row],[Satisfaction Rating]],0)</f>
        <v>4</v>
      </c>
    </row>
    <row r="334" spans="2:12">
      <c r="B334" t="s">
        <v>356</v>
      </c>
      <c r="C334" t="s">
        <v>8</v>
      </c>
      <c r="D334">
        <v>49</v>
      </c>
      <c r="E334" s="17" t="s">
        <v>10</v>
      </c>
      <c r="F334" s="18">
        <v>45024</v>
      </c>
      <c r="G334">
        <v>172</v>
      </c>
      <c r="H334">
        <v>2.9</v>
      </c>
      <c r="I334">
        <f>IF(MONTH(calls[[#This Row],[Date of Call]])&lt;=6, YEAR(calls[[#This Row],[Date of Call]]), YEAR(calls[[#This Row],[Date of Call]])+1)</f>
        <v>2023</v>
      </c>
      <c r="J334" t="str">
        <f>TEXT(calls[[#This Row],[Date of Call]],"DDDD")</f>
        <v>Saturday</v>
      </c>
      <c r="K334" t="str" cm="1">
        <f t="array" ref="K33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34">
        <f>ROUND(calls[[#This Row],[Satisfaction Rating]],0)</f>
        <v>3</v>
      </c>
    </row>
    <row r="335" spans="2:12">
      <c r="B335" t="s">
        <v>357</v>
      </c>
      <c r="C335" t="s">
        <v>16</v>
      </c>
      <c r="D335">
        <v>8</v>
      </c>
      <c r="E335" s="17" t="s">
        <v>6</v>
      </c>
      <c r="F335" s="18">
        <v>45024</v>
      </c>
      <c r="G335">
        <v>20</v>
      </c>
      <c r="H335">
        <v>4.8</v>
      </c>
      <c r="I335">
        <f>IF(MONTH(calls[[#This Row],[Date of Call]])&lt;=6, YEAR(calls[[#This Row],[Date of Call]]), YEAR(calls[[#This Row],[Date of Call]])+1)</f>
        <v>2023</v>
      </c>
      <c r="J335" t="str">
        <f>TEXT(calls[[#This Row],[Date of Call]],"DDDD")</f>
        <v>Saturday</v>
      </c>
      <c r="K335" t="str" cm="1">
        <f t="array" ref="K335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335">
        <f>ROUND(calls[[#This Row],[Satisfaction Rating]],0)</f>
        <v>5</v>
      </c>
    </row>
    <row r="336" spans="2:12">
      <c r="B336" t="s">
        <v>358</v>
      </c>
      <c r="C336" t="s">
        <v>17</v>
      </c>
      <c r="D336">
        <v>157</v>
      </c>
      <c r="E336" s="17" t="s">
        <v>10</v>
      </c>
      <c r="F336" s="18">
        <v>45024</v>
      </c>
      <c r="G336">
        <v>72</v>
      </c>
      <c r="H336">
        <v>3.7</v>
      </c>
      <c r="I336">
        <f>IF(MONTH(calls[[#This Row],[Date of Call]])&lt;=6, YEAR(calls[[#This Row],[Date of Call]]), YEAR(calls[[#This Row],[Date of Call]])+1)</f>
        <v>2023</v>
      </c>
      <c r="J336" t="str">
        <f>TEXT(calls[[#This Row],[Date of Call]],"DDDD")</f>
        <v>Saturday</v>
      </c>
      <c r="K336" t="str" cm="1">
        <f t="array" ref="K33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36">
        <f>ROUND(calls[[#This Row],[Satisfaction Rating]],0)</f>
        <v>4</v>
      </c>
    </row>
    <row r="337" spans="2:12">
      <c r="B337" t="s">
        <v>359</v>
      </c>
      <c r="C337" t="s">
        <v>23</v>
      </c>
      <c r="D337">
        <v>74</v>
      </c>
      <c r="E337" s="17" t="s">
        <v>9</v>
      </c>
      <c r="F337" s="18">
        <v>45024</v>
      </c>
      <c r="G337">
        <v>32</v>
      </c>
      <c r="H337">
        <v>4.8</v>
      </c>
      <c r="I337">
        <f>IF(MONTH(calls[[#This Row],[Date of Call]])&lt;=6, YEAR(calls[[#This Row],[Date of Call]]), YEAR(calls[[#This Row],[Date of Call]])+1)</f>
        <v>2023</v>
      </c>
      <c r="J337" t="str">
        <f>TEXT(calls[[#This Row],[Date of Call]],"DDDD")</f>
        <v>Saturday</v>
      </c>
      <c r="K337" t="str" cm="1">
        <f t="array" ref="K33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7">
        <f>ROUND(calls[[#This Row],[Satisfaction Rating]],0)</f>
        <v>5</v>
      </c>
    </row>
    <row r="338" spans="2:12">
      <c r="B338" t="s">
        <v>360</v>
      </c>
      <c r="C338" t="s">
        <v>22</v>
      </c>
      <c r="D338">
        <v>72</v>
      </c>
      <c r="E338" s="17" t="s">
        <v>13</v>
      </c>
      <c r="F338" s="18">
        <v>45024</v>
      </c>
      <c r="G338">
        <v>140</v>
      </c>
      <c r="H338">
        <v>3.2</v>
      </c>
      <c r="I338">
        <f>IF(MONTH(calls[[#This Row],[Date of Call]])&lt;=6, YEAR(calls[[#This Row],[Date of Call]]), YEAR(calls[[#This Row],[Date of Call]])+1)</f>
        <v>2023</v>
      </c>
      <c r="J338" t="str">
        <f>TEXT(calls[[#This Row],[Date of Call]],"DDDD")</f>
        <v>Saturday</v>
      </c>
      <c r="K338" t="str" cm="1">
        <f t="array" ref="K3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8">
        <f>ROUND(calls[[#This Row],[Satisfaction Rating]],0)</f>
        <v>3</v>
      </c>
    </row>
    <row r="339" spans="2:12">
      <c r="B339" t="s">
        <v>361</v>
      </c>
      <c r="C339" t="s">
        <v>23</v>
      </c>
      <c r="D339">
        <v>79</v>
      </c>
      <c r="E339" s="17" t="s">
        <v>9</v>
      </c>
      <c r="F339" s="18">
        <v>45025</v>
      </c>
      <c r="G339">
        <v>120</v>
      </c>
      <c r="H339">
        <v>4.9000000000000004</v>
      </c>
      <c r="I339">
        <f>IF(MONTH(calls[[#This Row],[Date of Call]])&lt;=6, YEAR(calls[[#This Row],[Date of Call]]), YEAR(calls[[#This Row],[Date of Call]])+1)</f>
        <v>2023</v>
      </c>
      <c r="J339" t="str">
        <f>TEXT(calls[[#This Row],[Date of Call]],"DDDD")</f>
        <v>Sunday</v>
      </c>
      <c r="K339" t="str" cm="1">
        <f t="array" ref="K3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9">
        <f>ROUND(calls[[#This Row],[Satisfaction Rating]],0)</f>
        <v>5</v>
      </c>
    </row>
    <row r="340" spans="2:12">
      <c r="B340" t="s">
        <v>362</v>
      </c>
      <c r="C340" t="s">
        <v>19</v>
      </c>
      <c r="D340">
        <v>23</v>
      </c>
      <c r="E340" s="17" t="s">
        <v>9</v>
      </c>
      <c r="F340" s="18">
        <v>45025</v>
      </c>
      <c r="G340">
        <v>86</v>
      </c>
      <c r="H340">
        <v>2.2000000000000002</v>
      </c>
      <c r="I340">
        <f>IF(MONTH(calls[[#This Row],[Date of Call]])&lt;=6, YEAR(calls[[#This Row],[Date of Call]]), YEAR(calls[[#This Row],[Date of Call]])+1)</f>
        <v>2023</v>
      </c>
      <c r="J340" t="str">
        <f>TEXT(calls[[#This Row],[Date of Call]],"DDDD")</f>
        <v>Sunday</v>
      </c>
      <c r="K340" t="str" cm="1">
        <f t="array" ref="K34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40">
        <f>ROUND(calls[[#This Row],[Satisfaction Rating]],0)</f>
        <v>2</v>
      </c>
    </row>
    <row r="341" spans="2:12">
      <c r="B341" t="s">
        <v>363</v>
      </c>
      <c r="C341" t="s">
        <v>12</v>
      </c>
      <c r="D341">
        <v>69</v>
      </c>
      <c r="E341" s="17" t="s">
        <v>9</v>
      </c>
      <c r="F341" s="18">
        <v>45025</v>
      </c>
      <c r="G341">
        <v>132</v>
      </c>
      <c r="H341">
        <v>5</v>
      </c>
      <c r="I341">
        <f>IF(MONTH(calls[[#This Row],[Date of Call]])&lt;=6, YEAR(calls[[#This Row],[Date of Call]]), YEAR(calls[[#This Row],[Date of Call]])+1)</f>
        <v>2023</v>
      </c>
      <c r="J341" t="str">
        <f>TEXT(calls[[#This Row],[Date of Call]],"DDDD")</f>
        <v>Sunday</v>
      </c>
      <c r="K341" t="str" cm="1">
        <f t="array" ref="K3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1">
        <f>ROUND(calls[[#This Row],[Satisfaction Rating]],0)</f>
        <v>5</v>
      </c>
    </row>
    <row r="342" spans="2:12">
      <c r="B342" t="s">
        <v>364</v>
      </c>
      <c r="C342" t="s">
        <v>7</v>
      </c>
      <c r="D342">
        <v>64</v>
      </c>
      <c r="E342" s="17" t="s">
        <v>9</v>
      </c>
      <c r="F342" s="18">
        <v>45025</v>
      </c>
      <c r="G342">
        <v>80</v>
      </c>
      <c r="H342">
        <v>3.3</v>
      </c>
      <c r="I342">
        <f>IF(MONTH(calls[[#This Row],[Date of Call]])&lt;=6, YEAR(calls[[#This Row],[Date of Call]]), YEAR(calls[[#This Row],[Date of Call]])+1)</f>
        <v>2023</v>
      </c>
      <c r="J342" t="str">
        <f>TEXT(calls[[#This Row],[Date of Call]],"DDDD")</f>
        <v>Sunday</v>
      </c>
      <c r="K342" t="str" cm="1">
        <f t="array" ref="K3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2">
        <f>ROUND(calls[[#This Row],[Satisfaction Rating]],0)</f>
        <v>3</v>
      </c>
    </row>
    <row r="343" spans="2:12">
      <c r="B343" t="s">
        <v>365</v>
      </c>
      <c r="C343" t="s">
        <v>24</v>
      </c>
      <c r="D343">
        <v>47</v>
      </c>
      <c r="E343" s="17" t="s">
        <v>10</v>
      </c>
      <c r="F343" s="18">
        <v>45025</v>
      </c>
      <c r="G343">
        <v>132</v>
      </c>
      <c r="H343">
        <v>3.7</v>
      </c>
      <c r="I343">
        <f>IF(MONTH(calls[[#This Row],[Date of Call]])&lt;=6, YEAR(calls[[#This Row],[Date of Call]]), YEAR(calls[[#This Row],[Date of Call]])+1)</f>
        <v>2023</v>
      </c>
      <c r="J343" t="str">
        <f>TEXT(calls[[#This Row],[Date of Call]],"DDDD")</f>
        <v>Sunday</v>
      </c>
      <c r="K343" t="str" cm="1">
        <f t="array" ref="K34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43">
        <f>ROUND(calls[[#This Row],[Satisfaction Rating]],0)</f>
        <v>4</v>
      </c>
    </row>
    <row r="344" spans="2:12">
      <c r="B344" t="s">
        <v>366</v>
      </c>
      <c r="C344" t="s">
        <v>23</v>
      </c>
      <c r="D344">
        <v>55</v>
      </c>
      <c r="E344" s="17" t="s">
        <v>13</v>
      </c>
      <c r="F344" s="18">
        <v>45025</v>
      </c>
      <c r="G344">
        <v>27</v>
      </c>
      <c r="H344">
        <v>3.7</v>
      </c>
      <c r="I344">
        <f>IF(MONTH(calls[[#This Row],[Date of Call]])&lt;=6, YEAR(calls[[#This Row],[Date of Call]]), YEAR(calls[[#This Row],[Date of Call]])+1)</f>
        <v>2023</v>
      </c>
      <c r="J344" t="str">
        <f>TEXT(calls[[#This Row],[Date of Call]],"DDDD")</f>
        <v>Sunday</v>
      </c>
      <c r="K344" t="str" cm="1">
        <f t="array" ref="K34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44">
        <f>ROUND(calls[[#This Row],[Satisfaction Rating]],0)</f>
        <v>4</v>
      </c>
    </row>
    <row r="345" spans="2:12">
      <c r="B345" t="s">
        <v>367</v>
      </c>
      <c r="C345" t="s">
        <v>18</v>
      </c>
      <c r="D345">
        <v>104</v>
      </c>
      <c r="E345" s="17" t="s">
        <v>13</v>
      </c>
      <c r="F345" s="18">
        <v>45026</v>
      </c>
      <c r="G345">
        <v>68</v>
      </c>
      <c r="H345">
        <v>3.6</v>
      </c>
      <c r="I345">
        <f>IF(MONTH(calls[[#This Row],[Date of Call]])&lt;=6, YEAR(calls[[#This Row],[Date of Call]]), YEAR(calls[[#This Row],[Date of Call]])+1)</f>
        <v>2023</v>
      </c>
      <c r="J345" t="str">
        <f>TEXT(calls[[#This Row],[Date of Call]],"DDDD")</f>
        <v>Monday</v>
      </c>
      <c r="K345" t="str" cm="1">
        <f t="array" ref="K3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5">
        <f>ROUND(calls[[#This Row],[Satisfaction Rating]],0)</f>
        <v>4</v>
      </c>
    </row>
    <row r="346" spans="2:12">
      <c r="B346" t="s">
        <v>368</v>
      </c>
      <c r="C346" t="s">
        <v>24</v>
      </c>
      <c r="D346">
        <v>116</v>
      </c>
      <c r="E346" s="17" t="s">
        <v>9</v>
      </c>
      <c r="F346" s="18">
        <v>45026</v>
      </c>
      <c r="G346">
        <v>22</v>
      </c>
      <c r="H346">
        <v>4.7</v>
      </c>
      <c r="I346">
        <f>IF(MONTH(calls[[#This Row],[Date of Call]])&lt;=6, YEAR(calls[[#This Row],[Date of Call]]), YEAR(calls[[#This Row],[Date of Call]])+1)</f>
        <v>2023</v>
      </c>
      <c r="J346" t="str">
        <f>TEXT(calls[[#This Row],[Date of Call]],"DDDD")</f>
        <v>Monday</v>
      </c>
      <c r="K346" t="str" cm="1">
        <f t="array" ref="K3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6">
        <f>ROUND(calls[[#This Row],[Satisfaction Rating]],0)</f>
        <v>5</v>
      </c>
    </row>
    <row r="347" spans="2:12">
      <c r="B347" t="s">
        <v>369</v>
      </c>
      <c r="C347" t="s">
        <v>19</v>
      </c>
      <c r="D347">
        <v>99</v>
      </c>
      <c r="E347" s="17" t="s">
        <v>13</v>
      </c>
      <c r="F347" s="18">
        <v>45026</v>
      </c>
      <c r="G347">
        <v>42</v>
      </c>
      <c r="H347">
        <v>3.1</v>
      </c>
      <c r="I347">
        <f>IF(MONTH(calls[[#This Row],[Date of Call]])&lt;=6, YEAR(calls[[#This Row],[Date of Call]]), YEAR(calls[[#This Row],[Date of Call]])+1)</f>
        <v>2023</v>
      </c>
      <c r="J347" t="str">
        <f>TEXT(calls[[#This Row],[Date of Call]],"DDDD")</f>
        <v>Monday</v>
      </c>
      <c r="K347" t="str" cm="1">
        <f t="array" ref="K3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7">
        <f>ROUND(calls[[#This Row],[Satisfaction Rating]],0)</f>
        <v>3</v>
      </c>
    </row>
    <row r="348" spans="2:12">
      <c r="B348" t="s">
        <v>370</v>
      </c>
      <c r="C348" t="s">
        <v>18</v>
      </c>
      <c r="D348">
        <v>84</v>
      </c>
      <c r="E348" s="17" t="s">
        <v>13</v>
      </c>
      <c r="F348" s="18">
        <v>45027</v>
      </c>
      <c r="G348">
        <v>38</v>
      </c>
      <c r="H348">
        <v>3.3</v>
      </c>
      <c r="I348">
        <f>IF(MONTH(calls[[#This Row],[Date of Call]])&lt;=6, YEAR(calls[[#This Row],[Date of Call]]), YEAR(calls[[#This Row],[Date of Call]])+1)</f>
        <v>2023</v>
      </c>
      <c r="J348" t="str">
        <f>TEXT(calls[[#This Row],[Date of Call]],"DDDD")</f>
        <v>Tuesday</v>
      </c>
      <c r="K348" t="str" cm="1">
        <f t="array" ref="K3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8">
        <f>ROUND(calls[[#This Row],[Satisfaction Rating]],0)</f>
        <v>3</v>
      </c>
    </row>
    <row r="349" spans="2:12">
      <c r="B349" t="s">
        <v>371</v>
      </c>
      <c r="C349" t="s">
        <v>16</v>
      </c>
      <c r="D349">
        <v>159</v>
      </c>
      <c r="E349" s="17" t="s">
        <v>13</v>
      </c>
      <c r="F349" s="18">
        <v>45027</v>
      </c>
      <c r="G349">
        <v>42</v>
      </c>
      <c r="H349">
        <v>4.5</v>
      </c>
      <c r="I349">
        <f>IF(MONTH(calls[[#This Row],[Date of Call]])&lt;=6, YEAR(calls[[#This Row],[Date of Call]]), YEAR(calls[[#This Row],[Date of Call]])+1)</f>
        <v>2023</v>
      </c>
      <c r="J349" t="str">
        <f>TEXT(calls[[#This Row],[Date of Call]],"DDDD")</f>
        <v>Tuesday</v>
      </c>
      <c r="K349" t="str" cm="1">
        <f t="array" ref="K3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49">
        <f>ROUND(calls[[#This Row],[Satisfaction Rating]],0)</f>
        <v>5</v>
      </c>
    </row>
    <row r="350" spans="2:12">
      <c r="B350" t="s">
        <v>372</v>
      </c>
      <c r="C350" t="s">
        <v>15</v>
      </c>
      <c r="D350">
        <v>25</v>
      </c>
      <c r="E350" s="17" t="s">
        <v>10</v>
      </c>
      <c r="F350" s="18">
        <v>45027</v>
      </c>
      <c r="G350">
        <v>75</v>
      </c>
      <c r="H350">
        <v>3.9</v>
      </c>
      <c r="I350">
        <f>IF(MONTH(calls[[#This Row],[Date of Call]])&lt;=6, YEAR(calls[[#This Row],[Date of Call]]), YEAR(calls[[#This Row],[Date of Call]])+1)</f>
        <v>2023</v>
      </c>
      <c r="J350" t="str">
        <f>TEXT(calls[[#This Row],[Date of Call]],"DDDD")</f>
        <v>Tuesday</v>
      </c>
      <c r="K350" t="str" cm="1">
        <f t="array" ref="K35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50">
        <f>ROUND(calls[[#This Row],[Satisfaction Rating]],0)</f>
        <v>4</v>
      </c>
    </row>
    <row r="351" spans="2:12">
      <c r="B351" t="s">
        <v>373</v>
      </c>
      <c r="C351" t="s">
        <v>16</v>
      </c>
      <c r="D351">
        <v>53</v>
      </c>
      <c r="E351" s="17" t="s">
        <v>6</v>
      </c>
      <c r="F351" s="18">
        <v>45028</v>
      </c>
      <c r="G351">
        <v>23</v>
      </c>
      <c r="H351">
        <v>4.9000000000000004</v>
      </c>
      <c r="I351">
        <f>IF(MONTH(calls[[#This Row],[Date of Call]])&lt;=6, YEAR(calls[[#This Row],[Date of Call]]), YEAR(calls[[#This Row],[Date of Call]])+1)</f>
        <v>2023</v>
      </c>
      <c r="J351" t="str">
        <f>TEXT(calls[[#This Row],[Date of Call]],"DDDD")</f>
        <v>Wednesday</v>
      </c>
      <c r="K351" t="str" cm="1">
        <f t="array" ref="K35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51">
        <f>ROUND(calls[[#This Row],[Satisfaction Rating]],0)</f>
        <v>5</v>
      </c>
    </row>
    <row r="352" spans="2:12">
      <c r="B352" t="s">
        <v>374</v>
      </c>
      <c r="C352" t="s">
        <v>16</v>
      </c>
      <c r="D352">
        <v>89</v>
      </c>
      <c r="E352" s="17" t="s">
        <v>10</v>
      </c>
      <c r="F352" s="18">
        <v>45028</v>
      </c>
      <c r="G352">
        <v>200</v>
      </c>
      <c r="H352">
        <v>4.8</v>
      </c>
      <c r="I352">
        <f>IF(MONTH(calls[[#This Row],[Date of Call]])&lt;=6, YEAR(calls[[#This Row],[Date of Call]]), YEAR(calls[[#This Row],[Date of Call]])+1)</f>
        <v>2023</v>
      </c>
      <c r="J352" t="str">
        <f>TEXT(calls[[#This Row],[Date of Call]],"DDDD")</f>
        <v>Wednesday</v>
      </c>
      <c r="K352" t="str" cm="1">
        <f t="array" ref="K3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2">
        <f>ROUND(calls[[#This Row],[Satisfaction Rating]],0)</f>
        <v>5</v>
      </c>
    </row>
    <row r="353" spans="2:12">
      <c r="B353" t="s">
        <v>375</v>
      </c>
      <c r="C353" t="s">
        <v>21</v>
      </c>
      <c r="D353">
        <v>73</v>
      </c>
      <c r="E353" s="17" t="s">
        <v>9</v>
      </c>
      <c r="F353" s="18">
        <v>45029</v>
      </c>
      <c r="G353">
        <v>45</v>
      </c>
      <c r="H353">
        <v>3.6</v>
      </c>
      <c r="I353">
        <f>IF(MONTH(calls[[#This Row],[Date of Call]])&lt;=6, YEAR(calls[[#This Row],[Date of Call]]), YEAR(calls[[#This Row],[Date of Call]])+1)</f>
        <v>2023</v>
      </c>
      <c r="J353" t="str">
        <f>TEXT(calls[[#This Row],[Date of Call]],"DDDD")</f>
        <v>Thursday</v>
      </c>
      <c r="K353" t="str" cm="1">
        <f t="array" ref="K35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3">
        <f>ROUND(calls[[#This Row],[Satisfaction Rating]],0)</f>
        <v>4</v>
      </c>
    </row>
    <row r="354" spans="2:12">
      <c r="B354" t="s">
        <v>376</v>
      </c>
      <c r="C354" t="s">
        <v>19</v>
      </c>
      <c r="D354">
        <v>50</v>
      </c>
      <c r="E354" s="17" t="s">
        <v>9</v>
      </c>
      <c r="F354" s="18">
        <v>45029</v>
      </c>
      <c r="G354">
        <v>105</v>
      </c>
      <c r="H354">
        <v>3.5</v>
      </c>
      <c r="I354">
        <f>IF(MONTH(calls[[#This Row],[Date of Call]])&lt;=6, YEAR(calls[[#This Row],[Date of Call]]), YEAR(calls[[#This Row],[Date of Call]])+1)</f>
        <v>2023</v>
      </c>
      <c r="J354" t="str">
        <f>TEXT(calls[[#This Row],[Date of Call]],"DDDD")</f>
        <v>Thursday</v>
      </c>
      <c r="K354" t="str" cm="1">
        <f t="array" ref="K35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54">
        <f>ROUND(calls[[#This Row],[Satisfaction Rating]],0)</f>
        <v>4</v>
      </c>
    </row>
    <row r="355" spans="2:12">
      <c r="B355" t="s">
        <v>377</v>
      </c>
      <c r="C355" t="s">
        <v>8</v>
      </c>
      <c r="D355">
        <v>98</v>
      </c>
      <c r="E355" s="17" t="s">
        <v>9</v>
      </c>
      <c r="F355" s="18">
        <v>45029</v>
      </c>
      <c r="G355">
        <v>22</v>
      </c>
      <c r="H355">
        <v>3.8</v>
      </c>
      <c r="I355">
        <f>IF(MONTH(calls[[#This Row],[Date of Call]])&lt;=6, YEAR(calls[[#This Row],[Date of Call]]), YEAR(calls[[#This Row],[Date of Call]])+1)</f>
        <v>2023</v>
      </c>
      <c r="J355" t="str">
        <f>TEXT(calls[[#This Row],[Date of Call]],"DDDD")</f>
        <v>Thursday</v>
      </c>
      <c r="K355" t="str" cm="1">
        <f t="array" ref="K3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5">
        <f>ROUND(calls[[#This Row],[Satisfaction Rating]],0)</f>
        <v>4</v>
      </c>
    </row>
    <row r="356" spans="2:12">
      <c r="B356" t="s">
        <v>378</v>
      </c>
      <c r="C356" t="s">
        <v>14</v>
      </c>
      <c r="D356">
        <v>114</v>
      </c>
      <c r="E356" s="17" t="s">
        <v>13</v>
      </c>
      <c r="F356" s="18">
        <v>45030</v>
      </c>
      <c r="G356">
        <v>126</v>
      </c>
      <c r="H356">
        <v>4.4000000000000004</v>
      </c>
      <c r="I356">
        <f>IF(MONTH(calls[[#This Row],[Date of Call]])&lt;=6, YEAR(calls[[#This Row],[Date of Call]]), YEAR(calls[[#This Row],[Date of Call]])+1)</f>
        <v>2023</v>
      </c>
      <c r="J356" t="str">
        <f>TEXT(calls[[#This Row],[Date of Call]],"DDDD")</f>
        <v>Friday</v>
      </c>
      <c r="K356" t="str" cm="1">
        <f t="array" ref="K3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6">
        <f>ROUND(calls[[#This Row],[Satisfaction Rating]],0)</f>
        <v>4</v>
      </c>
    </row>
    <row r="357" spans="2:12">
      <c r="B357" t="s">
        <v>379</v>
      </c>
      <c r="C357" t="s">
        <v>7</v>
      </c>
      <c r="D357">
        <v>67</v>
      </c>
      <c r="E357" s="17" t="s">
        <v>13</v>
      </c>
      <c r="F357" s="18">
        <v>45030</v>
      </c>
      <c r="G357">
        <v>35</v>
      </c>
      <c r="H357">
        <v>3</v>
      </c>
      <c r="I357">
        <f>IF(MONTH(calls[[#This Row],[Date of Call]])&lt;=6, YEAR(calls[[#This Row],[Date of Call]]), YEAR(calls[[#This Row],[Date of Call]])+1)</f>
        <v>2023</v>
      </c>
      <c r="J357" t="str">
        <f>TEXT(calls[[#This Row],[Date of Call]],"DDDD")</f>
        <v>Friday</v>
      </c>
      <c r="K357" t="str" cm="1">
        <f t="array" ref="K3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7">
        <f>ROUND(calls[[#This Row],[Satisfaction Rating]],0)</f>
        <v>3</v>
      </c>
    </row>
    <row r="358" spans="2:12">
      <c r="B358" t="s">
        <v>380</v>
      </c>
      <c r="C358" t="s">
        <v>23</v>
      </c>
      <c r="D358">
        <v>91</v>
      </c>
      <c r="E358" s="17" t="s">
        <v>9</v>
      </c>
      <c r="F358" s="18">
        <v>45030</v>
      </c>
      <c r="G358">
        <v>84</v>
      </c>
      <c r="H358">
        <v>4.5</v>
      </c>
      <c r="I358">
        <f>IF(MONTH(calls[[#This Row],[Date of Call]])&lt;=6, YEAR(calls[[#This Row],[Date of Call]]), YEAR(calls[[#This Row],[Date of Call]])+1)</f>
        <v>2023</v>
      </c>
      <c r="J358" t="str">
        <f>TEXT(calls[[#This Row],[Date of Call]],"DDDD")</f>
        <v>Friday</v>
      </c>
      <c r="K358" t="str" cm="1">
        <f t="array" ref="K3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8">
        <f>ROUND(calls[[#This Row],[Satisfaction Rating]],0)</f>
        <v>5</v>
      </c>
    </row>
    <row r="359" spans="2:12">
      <c r="B359" t="s">
        <v>381</v>
      </c>
      <c r="C359" t="s">
        <v>5</v>
      </c>
      <c r="D359">
        <v>67</v>
      </c>
      <c r="E359" s="17" t="s">
        <v>9</v>
      </c>
      <c r="F359" s="18">
        <v>45031</v>
      </c>
      <c r="G359">
        <v>172</v>
      </c>
      <c r="H359">
        <v>4.5</v>
      </c>
      <c r="I359">
        <f>IF(MONTH(calls[[#This Row],[Date of Call]])&lt;=6, YEAR(calls[[#This Row],[Date of Call]]), YEAR(calls[[#This Row],[Date of Call]])+1)</f>
        <v>2023</v>
      </c>
      <c r="J359" t="str">
        <f>TEXT(calls[[#This Row],[Date of Call]],"DDDD")</f>
        <v>Saturday</v>
      </c>
      <c r="K359" t="str" cm="1">
        <f t="array" ref="K35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9">
        <f>ROUND(calls[[#This Row],[Satisfaction Rating]],0)</f>
        <v>5</v>
      </c>
    </row>
    <row r="360" spans="2:12">
      <c r="B360" t="s">
        <v>382</v>
      </c>
      <c r="C360" t="s">
        <v>14</v>
      </c>
      <c r="D360">
        <v>139</v>
      </c>
      <c r="E360" s="17" t="s">
        <v>10</v>
      </c>
      <c r="F360" s="18">
        <v>45031</v>
      </c>
      <c r="G360">
        <v>114</v>
      </c>
      <c r="H360">
        <v>4</v>
      </c>
      <c r="I360">
        <f>IF(MONTH(calls[[#This Row],[Date of Call]])&lt;=6, YEAR(calls[[#This Row],[Date of Call]]), YEAR(calls[[#This Row],[Date of Call]])+1)</f>
        <v>2023</v>
      </c>
      <c r="J360" t="str">
        <f>TEXT(calls[[#This Row],[Date of Call]],"DDDD")</f>
        <v>Saturday</v>
      </c>
      <c r="K360" t="str" cm="1">
        <f t="array" ref="K36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60">
        <f>ROUND(calls[[#This Row],[Satisfaction Rating]],0)</f>
        <v>4</v>
      </c>
    </row>
    <row r="361" spans="2:12">
      <c r="B361" t="s">
        <v>383</v>
      </c>
      <c r="C361" t="s">
        <v>5</v>
      </c>
      <c r="D361">
        <v>102</v>
      </c>
      <c r="E361" s="17" t="s">
        <v>10</v>
      </c>
      <c r="F361" s="18">
        <v>45031</v>
      </c>
      <c r="G361">
        <v>60</v>
      </c>
      <c r="H361">
        <v>3.8</v>
      </c>
      <c r="I361">
        <f>IF(MONTH(calls[[#This Row],[Date of Call]])&lt;=6, YEAR(calls[[#This Row],[Date of Call]]), YEAR(calls[[#This Row],[Date of Call]])+1)</f>
        <v>2023</v>
      </c>
      <c r="J361" t="str">
        <f>TEXT(calls[[#This Row],[Date of Call]],"DDDD")</f>
        <v>Saturday</v>
      </c>
      <c r="K361" t="str" cm="1">
        <f t="array" ref="K3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1">
        <f>ROUND(calls[[#This Row],[Satisfaction Rating]],0)</f>
        <v>4</v>
      </c>
    </row>
    <row r="362" spans="2:12">
      <c r="B362" t="s">
        <v>384</v>
      </c>
      <c r="C362" t="s">
        <v>17</v>
      </c>
      <c r="D362">
        <v>108</v>
      </c>
      <c r="E362" s="17" t="s">
        <v>11</v>
      </c>
      <c r="F362" s="18">
        <v>45031</v>
      </c>
      <c r="G362">
        <v>26</v>
      </c>
      <c r="H362">
        <v>3.3</v>
      </c>
      <c r="I362">
        <f>IF(MONTH(calls[[#This Row],[Date of Call]])&lt;=6, YEAR(calls[[#This Row],[Date of Call]]), YEAR(calls[[#This Row],[Date of Call]])+1)</f>
        <v>2023</v>
      </c>
      <c r="J362" t="str">
        <f>TEXT(calls[[#This Row],[Date of Call]],"DDDD")</f>
        <v>Saturday</v>
      </c>
      <c r="K362" t="str" cm="1">
        <f t="array" ref="K3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2">
        <f>ROUND(calls[[#This Row],[Satisfaction Rating]],0)</f>
        <v>3</v>
      </c>
    </row>
    <row r="363" spans="2:12">
      <c r="B363" t="s">
        <v>385</v>
      </c>
      <c r="C363" t="s">
        <v>15</v>
      </c>
      <c r="D363">
        <v>66</v>
      </c>
      <c r="E363" s="17" t="s">
        <v>9</v>
      </c>
      <c r="F363" s="18">
        <v>45031</v>
      </c>
      <c r="G363">
        <v>210</v>
      </c>
      <c r="H363">
        <v>4.3</v>
      </c>
      <c r="I363">
        <f>IF(MONTH(calls[[#This Row],[Date of Call]])&lt;=6, YEAR(calls[[#This Row],[Date of Call]]), YEAR(calls[[#This Row],[Date of Call]])+1)</f>
        <v>2023</v>
      </c>
      <c r="J363" t="str">
        <f>TEXT(calls[[#This Row],[Date of Call]],"DDDD")</f>
        <v>Saturday</v>
      </c>
      <c r="K363" t="str" cm="1">
        <f t="array" ref="K3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3">
        <f>ROUND(calls[[#This Row],[Satisfaction Rating]],0)</f>
        <v>4</v>
      </c>
    </row>
    <row r="364" spans="2:12">
      <c r="B364" t="s">
        <v>386</v>
      </c>
      <c r="C364" t="s">
        <v>22</v>
      </c>
      <c r="D364">
        <v>85</v>
      </c>
      <c r="E364" s="17" t="s">
        <v>10</v>
      </c>
      <c r="F364" s="18">
        <v>45031</v>
      </c>
      <c r="G364">
        <v>129</v>
      </c>
      <c r="H364">
        <v>4.2</v>
      </c>
      <c r="I364">
        <f>IF(MONTH(calls[[#This Row],[Date of Call]])&lt;=6, YEAR(calls[[#This Row],[Date of Call]]), YEAR(calls[[#This Row],[Date of Call]])+1)</f>
        <v>2023</v>
      </c>
      <c r="J364" t="str">
        <f>TEXT(calls[[#This Row],[Date of Call]],"DDDD")</f>
        <v>Saturday</v>
      </c>
      <c r="K364" t="str" cm="1">
        <f t="array" ref="K3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4">
        <f>ROUND(calls[[#This Row],[Satisfaction Rating]],0)</f>
        <v>4</v>
      </c>
    </row>
    <row r="365" spans="2:12">
      <c r="B365" t="s">
        <v>387</v>
      </c>
      <c r="C365" t="s">
        <v>7</v>
      </c>
      <c r="D365">
        <v>55</v>
      </c>
      <c r="E365" s="17" t="s">
        <v>11</v>
      </c>
      <c r="F365" s="18">
        <v>45031</v>
      </c>
      <c r="G365">
        <v>215</v>
      </c>
      <c r="H365">
        <v>4.3</v>
      </c>
      <c r="I365">
        <f>IF(MONTH(calls[[#This Row],[Date of Call]])&lt;=6, YEAR(calls[[#This Row],[Date of Call]]), YEAR(calls[[#This Row],[Date of Call]])+1)</f>
        <v>2023</v>
      </c>
      <c r="J365" t="str">
        <f>TEXT(calls[[#This Row],[Date of Call]],"DDDD")</f>
        <v>Saturday</v>
      </c>
      <c r="K365" t="str" cm="1">
        <f t="array" ref="K3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65">
        <f>ROUND(calls[[#This Row],[Satisfaction Rating]],0)</f>
        <v>4</v>
      </c>
    </row>
    <row r="366" spans="2:12">
      <c r="B366" t="s">
        <v>388</v>
      </c>
      <c r="C366" t="s">
        <v>17</v>
      </c>
      <c r="D366">
        <v>17</v>
      </c>
      <c r="E366" s="17" t="s">
        <v>6</v>
      </c>
      <c r="F366" s="18">
        <v>45031</v>
      </c>
      <c r="G366">
        <v>69</v>
      </c>
      <c r="H366">
        <v>4.5999999999999996</v>
      </c>
      <c r="I366">
        <f>IF(MONTH(calls[[#This Row],[Date of Call]])&lt;=6, YEAR(calls[[#This Row],[Date of Call]]), YEAR(calls[[#This Row],[Date of Call]])+1)</f>
        <v>2023</v>
      </c>
      <c r="J366" t="str">
        <f>TEXT(calls[[#This Row],[Date of Call]],"DDDD")</f>
        <v>Saturday</v>
      </c>
      <c r="K366" t="str" cm="1">
        <f t="array" ref="K36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66">
        <f>ROUND(calls[[#This Row],[Satisfaction Rating]],0)</f>
        <v>5</v>
      </c>
    </row>
    <row r="367" spans="2:12">
      <c r="B367" t="s">
        <v>389</v>
      </c>
      <c r="C367" t="s">
        <v>7</v>
      </c>
      <c r="D367">
        <v>128</v>
      </c>
      <c r="E367" s="17" t="s">
        <v>6</v>
      </c>
      <c r="F367" s="18">
        <v>45031</v>
      </c>
      <c r="G367">
        <v>140</v>
      </c>
      <c r="H367">
        <v>3</v>
      </c>
      <c r="I367">
        <f>IF(MONTH(calls[[#This Row],[Date of Call]])&lt;=6, YEAR(calls[[#This Row],[Date of Call]]), YEAR(calls[[#This Row],[Date of Call]])+1)</f>
        <v>2023</v>
      </c>
      <c r="J367" t="str">
        <f>TEXT(calls[[#This Row],[Date of Call]],"DDDD")</f>
        <v>Saturday</v>
      </c>
      <c r="K367" t="str" cm="1">
        <f t="array" ref="K36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67">
        <f>ROUND(calls[[#This Row],[Satisfaction Rating]],0)</f>
        <v>3</v>
      </c>
    </row>
    <row r="368" spans="2:12">
      <c r="B368" t="s">
        <v>390</v>
      </c>
      <c r="C368" t="s">
        <v>19</v>
      </c>
      <c r="D368">
        <v>45</v>
      </c>
      <c r="E368" s="17" t="s">
        <v>11</v>
      </c>
      <c r="F368" s="18">
        <v>45032</v>
      </c>
      <c r="G368">
        <v>156</v>
      </c>
      <c r="H368">
        <v>2.7</v>
      </c>
      <c r="I368">
        <f>IF(MONTH(calls[[#This Row],[Date of Call]])&lt;=6, YEAR(calls[[#This Row],[Date of Call]]), YEAR(calls[[#This Row],[Date of Call]])+1)</f>
        <v>2023</v>
      </c>
      <c r="J368" t="str">
        <f>TEXT(calls[[#This Row],[Date of Call]],"DDDD")</f>
        <v>Sunday</v>
      </c>
      <c r="K368" t="str" cm="1">
        <f t="array" ref="K36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68">
        <f>ROUND(calls[[#This Row],[Satisfaction Rating]],0)</f>
        <v>3</v>
      </c>
    </row>
    <row r="369" spans="2:12">
      <c r="B369" t="s">
        <v>391</v>
      </c>
      <c r="C369" t="s">
        <v>17</v>
      </c>
      <c r="D369">
        <v>41</v>
      </c>
      <c r="E369" s="17" t="s">
        <v>6</v>
      </c>
      <c r="F369" s="18">
        <v>45032</v>
      </c>
      <c r="G369">
        <v>164</v>
      </c>
      <c r="H369">
        <v>3.1</v>
      </c>
      <c r="I369">
        <f>IF(MONTH(calls[[#This Row],[Date of Call]])&lt;=6, YEAR(calls[[#This Row],[Date of Call]]), YEAR(calls[[#This Row],[Date of Call]])+1)</f>
        <v>2023</v>
      </c>
      <c r="J369" t="str">
        <f>TEXT(calls[[#This Row],[Date of Call]],"DDDD")</f>
        <v>Sunday</v>
      </c>
      <c r="K369" t="str" cm="1">
        <f t="array" ref="K36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69">
        <f>ROUND(calls[[#This Row],[Satisfaction Rating]],0)</f>
        <v>3</v>
      </c>
    </row>
    <row r="370" spans="2:12">
      <c r="B370" t="s">
        <v>392</v>
      </c>
      <c r="C370" t="s">
        <v>24</v>
      </c>
      <c r="D370">
        <v>49</v>
      </c>
      <c r="E370" s="17" t="s">
        <v>6</v>
      </c>
      <c r="F370" s="18">
        <v>45032</v>
      </c>
      <c r="G370">
        <v>195</v>
      </c>
      <c r="H370">
        <v>2.6</v>
      </c>
      <c r="I370">
        <f>IF(MONTH(calls[[#This Row],[Date of Call]])&lt;=6, YEAR(calls[[#This Row],[Date of Call]]), YEAR(calls[[#This Row],[Date of Call]])+1)</f>
        <v>2023</v>
      </c>
      <c r="J370" t="str">
        <f>TEXT(calls[[#This Row],[Date of Call]],"DDDD")</f>
        <v>Sunday</v>
      </c>
      <c r="K370" t="str" cm="1">
        <f t="array" ref="K37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70">
        <f>ROUND(calls[[#This Row],[Satisfaction Rating]],0)</f>
        <v>3</v>
      </c>
    </row>
    <row r="371" spans="2:12">
      <c r="B371" t="s">
        <v>393</v>
      </c>
      <c r="C371" t="s">
        <v>12</v>
      </c>
      <c r="D371">
        <v>21</v>
      </c>
      <c r="E371" s="17" t="s">
        <v>13</v>
      </c>
      <c r="F371" s="18">
        <v>45032</v>
      </c>
      <c r="G371">
        <v>74</v>
      </c>
      <c r="H371">
        <v>4.5999999999999996</v>
      </c>
      <c r="I371">
        <f>IF(MONTH(calls[[#This Row],[Date of Call]])&lt;=6, YEAR(calls[[#This Row],[Date of Call]]), YEAR(calls[[#This Row],[Date of Call]])+1)</f>
        <v>2023</v>
      </c>
      <c r="J371" t="str">
        <f>TEXT(calls[[#This Row],[Date of Call]],"DDDD")</f>
        <v>Sunday</v>
      </c>
      <c r="K371" t="str" cm="1">
        <f t="array" ref="K37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71">
        <f>ROUND(calls[[#This Row],[Satisfaction Rating]],0)</f>
        <v>5</v>
      </c>
    </row>
    <row r="372" spans="2:12">
      <c r="B372" t="s">
        <v>394</v>
      </c>
      <c r="C372" t="s">
        <v>16</v>
      </c>
      <c r="D372">
        <v>133</v>
      </c>
      <c r="E372" s="17" t="s">
        <v>11</v>
      </c>
      <c r="F372" s="18">
        <v>45032</v>
      </c>
      <c r="G372">
        <v>100</v>
      </c>
      <c r="H372">
        <v>4</v>
      </c>
      <c r="I372">
        <f>IF(MONTH(calls[[#This Row],[Date of Call]])&lt;=6, YEAR(calls[[#This Row],[Date of Call]]), YEAR(calls[[#This Row],[Date of Call]])+1)</f>
        <v>2023</v>
      </c>
      <c r="J372" t="str">
        <f>TEXT(calls[[#This Row],[Date of Call]],"DDDD")</f>
        <v>Sunday</v>
      </c>
      <c r="K372" t="str" cm="1">
        <f t="array" ref="K37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2">
        <f>ROUND(calls[[#This Row],[Satisfaction Rating]],0)</f>
        <v>4</v>
      </c>
    </row>
    <row r="373" spans="2:12">
      <c r="B373" t="s">
        <v>395</v>
      </c>
      <c r="C373" t="s">
        <v>20</v>
      </c>
      <c r="D373">
        <v>135</v>
      </c>
      <c r="E373" s="17" t="s">
        <v>9</v>
      </c>
      <c r="F373" s="18">
        <v>45032</v>
      </c>
      <c r="G373">
        <v>185</v>
      </c>
      <c r="H373">
        <v>4.5</v>
      </c>
      <c r="I373">
        <f>IF(MONTH(calls[[#This Row],[Date of Call]])&lt;=6, YEAR(calls[[#This Row],[Date of Call]]), YEAR(calls[[#This Row],[Date of Call]])+1)</f>
        <v>2023</v>
      </c>
      <c r="J373" t="str">
        <f>TEXT(calls[[#This Row],[Date of Call]],"DDDD")</f>
        <v>Sunday</v>
      </c>
      <c r="K373" t="str" cm="1">
        <f t="array" ref="K3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3">
        <f>ROUND(calls[[#This Row],[Satisfaction Rating]],0)</f>
        <v>5</v>
      </c>
    </row>
    <row r="374" spans="2:12">
      <c r="B374" t="s">
        <v>396</v>
      </c>
      <c r="C374" t="s">
        <v>14</v>
      </c>
      <c r="D374">
        <v>69</v>
      </c>
      <c r="E374" s="17" t="s">
        <v>11</v>
      </c>
      <c r="F374" s="18">
        <v>45032</v>
      </c>
      <c r="G374">
        <v>130</v>
      </c>
      <c r="H374">
        <v>1.9</v>
      </c>
      <c r="I374">
        <f>IF(MONTH(calls[[#This Row],[Date of Call]])&lt;=6, YEAR(calls[[#This Row],[Date of Call]]), YEAR(calls[[#This Row],[Date of Call]])+1)</f>
        <v>2023</v>
      </c>
      <c r="J374" t="str">
        <f>TEXT(calls[[#This Row],[Date of Call]],"DDDD")</f>
        <v>Sunday</v>
      </c>
      <c r="K374" t="str" cm="1">
        <f t="array" ref="K3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4">
        <f>ROUND(calls[[#This Row],[Satisfaction Rating]],0)</f>
        <v>2</v>
      </c>
    </row>
    <row r="375" spans="2:12">
      <c r="B375" t="s">
        <v>397</v>
      </c>
      <c r="C375" t="s">
        <v>18</v>
      </c>
      <c r="D375">
        <v>110</v>
      </c>
      <c r="E375" s="17" t="s">
        <v>13</v>
      </c>
      <c r="F375" s="18">
        <v>45033</v>
      </c>
      <c r="G375">
        <v>21</v>
      </c>
      <c r="H375">
        <v>2.6</v>
      </c>
      <c r="I375">
        <f>IF(MONTH(calls[[#This Row],[Date of Call]])&lt;=6, YEAR(calls[[#This Row],[Date of Call]]), YEAR(calls[[#This Row],[Date of Call]])+1)</f>
        <v>2023</v>
      </c>
      <c r="J375" t="str">
        <f>TEXT(calls[[#This Row],[Date of Call]],"DDDD")</f>
        <v>Monday</v>
      </c>
      <c r="K375" t="str" cm="1">
        <f t="array" ref="K3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5">
        <f>ROUND(calls[[#This Row],[Satisfaction Rating]],0)</f>
        <v>3</v>
      </c>
    </row>
    <row r="376" spans="2:12">
      <c r="B376" t="s">
        <v>398</v>
      </c>
      <c r="C376" t="s">
        <v>5</v>
      </c>
      <c r="D376">
        <v>64</v>
      </c>
      <c r="E376" s="17" t="s">
        <v>10</v>
      </c>
      <c r="F376" s="18">
        <v>45033</v>
      </c>
      <c r="G376">
        <v>88</v>
      </c>
      <c r="H376">
        <v>4.3</v>
      </c>
      <c r="I376">
        <f>IF(MONTH(calls[[#This Row],[Date of Call]])&lt;=6, YEAR(calls[[#This Row],[Date of Call]]), YEAR(calls[[#This Row],[Date of Call]])+1)</f>
        <v>2023</v>
      </c>
      <c r="J376" t="str">
        <f>TEXT(calls[[#This Row],[Date of Call]],"DDDD")</f>
        <v>Monday</v>
      </c>
      <c r="K376" t="str" cm="1">
        <f t="array" ref="K3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6">
        <f>ROUND(calls[[#This Row],[Satisfaction Rating]],0)</f>
        <v>4</v>
      </c>
    </row>
    <row r="377" spans="2:12">
      <c r="B377" t="s">
        <v>399</v>
      </c>
      <c r="C377" t="s">
        <v>23</v>
      </c>
      <c r="D377">
        <v>105</v>
      </c>
      <c r="E377" s="17" t="s">
        <v>6</v>
      </c>
      <c r="F377" s="18">
        <v>45033</v>
      </c>
      <c r="G377">
        <v>35</v>
      </c>
      <c r="H377">
        <v>4.4000000000000004</v>
      </c>
      <c r="I377">
        <f>IF(MONTH(calls[[#This Row],[Date of Call]])&lt;=6, YEAR(calls[[#This Row],[Date of Call]]), YEAR(calls[[#This Row],[Date of Call]])+1)</f>
        <v>2023</v>
      </c>
      <c r="J377" t="str">
        <f>TEXT(calls[[#This Row],[Date of Call]],"DDDD")</f>
        <v>Monday</v>
      </c>
      <c r="K377" t="str" cm="1">
        <f t="array" ref="K3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7">
        <f>ROUND(calls[[#This Row],[Satisfaction Rating]],0)</f>
        <v>4</v>
      </c>
    </row>
    <row r="378" spans="2:12">
      <c r="B378" t="s">
        <v>400</v>
      </c>
      <c r="C378" t="s">
        <v>5</v>
      </c>
      <c r="D378">
        <v>165</v>
      </c>
      <c r="E378" s="17" t="s">
        <v>9</v>
      </c>
      <c r="F378" s="18">
        <v>45033</v>
      </c>
      <c r="G378">
        <v>68</v>
      </c>
      <c r="H378">
        <v>4.3</v>
      </c>
      <c r="I378">
        <f>IF(MONTH(calls[[#This Row],[Date of Call]])&lt;=6, YEAR(calls[[#This Row],[Date of Call]]), YEAR(calls[[#This Row],[Date of Call]])+1)</f>
        <v>2023</v>
      </c>
      <c r="J378" t="str">
        <f>TEXT(calls[[#This Row],[Date of Call]],"DDDD")</f>
        <v>Monday</v>
      </c>
      <c r="K378" t="str" cm="1">
        <f t="array" ref="K37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8">
        <f>ROUND(calls[[#This Row],[Satisfaction Rating]],0)</f>
        <v>4</v>
      </c>
    </row>
    <row r="379" spans="2:12">
      <c r="B379" t="s">
        <v>401</v>
      </c>
      <c r="C379" t="s">
        <v>19</v>
      </c>
      <c r="D379">
        <v>125</v>
      </c>
      <c r="E379" s="17" t="s">
        <v>9</v>
      </c>
      <c r="F379" s="18">
        <v>45033</v>
      </c>
      <c r="G379">
        <v>148</v>
      </c>
      <c r="H379">
        <v>4.5</v>
      </c>
      <c r="I379">
        <f>IF(MONTH(calls[[#This Row],[Date of Call]])&lt;=6, YEAR(calls[[#This Row],[Date of Call]]), YEAR(calls[[#This Row],[Date of Call]])+1)</f>
        <v>2023</v>
      </c>
      <c r="J379" t="str">
        <f>TEXT(calls[[#This Row],[Date of Call]],"DDDD")</f>
        <v>Monday</v>
      </c>
      <c r="K379" t="str" cm="1">
        <f t="array" ref="K3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9">
        <f>ROUND(calls[[#This Row],[Satisfaction Rating]],0)</f>
        <v>5</v>
      </c>
    </row>
    <row r="380" spans="2:12">
      <c r="B380" t="s">
        <v>402</v>
      </c>
      <c r="C380" t="s">
        <v>23</v>
      </c>
      <c r="D380">
        <v>88</v>
      </c>
      <c r="E380" s="17" t="s">
        <v>10</v>
      </c>
      <c r="F380" s="18">
        <v>45034</v>
      </c>
      <c r="G380">
        <v>81</v>
      </c>
      <c r="H380">
        <v>4.2</v>
      </c>
      <c r="I380">
        <f>IF(MONTH(calls[[#This Row],[Date of Call]])&lt;=6, YEAR(calls[[#This Row],[Date of Call]]), YEAR(calls[[#This Row],[Date of Call]])+1)</f>
        <v>2023</v>
      </c>
      <c r="J380" t="str">
        <f>TEXT(calls[[#This Row],[Date of Call]],"DDDD")</f>
        <v>Tuesday</v>
      </c>
      <c r="K380" t="str" cm="1">
        <f t="array" ref="K3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0">
        <f>ROUND(calls[[#This Row],[Satisfaction Rating]],0)</f>
        <v>4</v>
      </c>
    </row>
    <row r="381" spans="2:12">
      <c r="B381" t="s">
        <v>403</v>
      </c>
      <c r="C381" t="s">
        <v>14</v>
      </c>
      <c r="D381">
        <v>6</v>
      </c>
      <c r="E381" s="17" t="s">
        <v>10</v>
      </c>
      <c r="F381" s="18">
        <v>45034</v>
      </c>
      <c r="G381">
        <v>75</v>
      </c>
      <c r="H381">
        <v>3.9</v>
      </c>
      <c r="I381">
        <f>IF(MONTH(calls[[#This Row],[Date of Call]])&lt;=6, YEAR(calls[[#This Row],[Date of Call]]), YEAR(calls[[#This Row],[Date of Call]])+1)</f>
        <v>2023</v>
      </c>
      <c r="J381" t="str">
        <f>TEXT(calls[[#This Row],[Date of Call]],"DDDD")</f>
        <v>Tuesday</v>
      </c>
      <c r="K381" t="str" cm="1">
        <f t="array" ref="K381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381">
        <f>ROUND(calls[[#This Row],[Satisfaction Rating]],0)</f>
        <v>4</v>
      </c>
    </row>
    <row r="382" spans="2:12">
      <c r="B382" t="s">
        <v>404</v>
      </c>
      <c r="C382" t="s">
        <v>22</v>
      </c>
      <c r="D382">
        <v>69</v>
      </c>
      <c r="E382" s="17" t="s">
        <v>11</v>
      </c>
      <c r="F382" s="18">
        <v>45035</v>
      </c>
      <c r="G382">
        <v>32</v>
      </c>
      <c r="H382">
        <v>3.6</v>
      </c>
      <c r="I382">
        <f>IF(MONTH(calls[[#This Row],[Date of Call]])&lt;=6, YEAR(calls[[#This Row],[Date of Call]]), YEAR(calls[[#This Row],[Date of Call]])+1)</f>
        <v>2023</v>
      </c>
      <c r="J382" t="str">
        <f>TEXT(calls[[#This Row],[Date of Call]],"DDDD")</f>
        <v>Wednesday</v>
      </c>
      <c r="K382" t="str" cm="1">
        <f t="array" ref="K3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2">
        <f>ROUND(calls[[#This Row],[Satisfaction Rating]],0)</f>
        <v>4</v>
      </c>
    </row>
    <row r="383" spans="2:12">
      <c r="B383" t="s">
        <v>405</v>
      </c>
      <c r="C383" t="s">
        <v>17</v>
      </c>
      <c r="D383">
        <v>107</v>
      </c>
      <c r="E383" s="17" t="s">
        <v>11</v>
      </c>
      <c r="F383" s="18">
        <v>45035</v>
      </c>
      <c r="G383">
        <v>156</v>
      </c>
      <c r="H383">
        <v>3.8</v>
      </c>
      <c r="I383">
        <f>IF(MONTH(calls[[#This Row],[Date of Call]])&lt;=6, YEAR(calls[[#This Row],[Date of Call]]), YEAR(calls[[#This Row],[Date of Call]])+1)</f>
        <v>2023</v>
      </c>
      <c r="J383" t="str">
        <f>TEXT(calls[[#This Row],[Date of Call]],"DDDD")</f>
        <v>Wednesday</v>
      </c>
      <c r="K383" t="str" cm="1">
        <f t="array" ref="K3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3">
        <f>ROUND(calls[[#This Row],[Satisfaction Rating]],0)</f>
        <v>4</v>
      </c>
    </row>
    <row r="384" spans="2:12">
      <c r="B384" t="s">
        <v>406</v>
      </c>
      <c r="C384" t="s">
        <v>12</v>
      </c>
      <c r="D384">
        <v>90</v>
      </c>
      <c r="E384" s="17" t="s">
        <v>9</v>
      </c>
      <c r="F384" s="18">
        <v>45035</v>
      </c>
      <c r="G384">
        <v>99</v>
      </c>
      <c r="H384">
        <v>4.9000000000000004</v>
      </c>
      <c r="I384">
        <f>IF(MONTH(calls[[#This Row],[Date of Call]])&lt;=6, YEAR(calls[[#This Row],[Date of Call]]), YEAR(calls[[#This Row],[Date of Call]])+1)</f>
        <v>2023</v>
      </c>
      <c r="J384" t="str">
        <f>TEXT(calls[[#This Row],[Date of Call]],"DDDD")</f>
        <v>Wednesday</v>
      </c>
      <c r="K384" t="str" cm="1">
        <f t="array" ref="K3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4">
        <f>ROUND(calls[[#This Row],[Satisfaction Rating]],0)</f>
        <v>5</v>
      </c>
    </row>
    <row r="385" spans="2:12">
      <c r="B385" t="s">
        <v>407</v>
      </c>
      <c r="C385" t="s">
        <v>20</v>
      </c>
      <c r="D385">
        <v>120</v>
      </c>
      <c r="E385" s="17" t="s">
        <v>6</v>
      </c>
      <c r="F385" s="18">
        <v>45035</v>
      </c>
      <c r="G385">
        <v>26</v>
      </c>
      <c r="H385">
        <v>4</v>
      </c>
      <c r="I385">
        <f>IF(MONTH(calls[[#This Row],[Date of Call]])&lt;=6, YEAR(calls[[#This Row],[Date of Call]]), YEAR(calls[[#This Row],[Date of Call]])+1)</f>
        <v>2023</v>
      </c>
      <c r="J385" t="str">
        <f>TEXT(calls[[#This Row],[Date of Call]],"DDDD")</f>
        <v>Wednesday</v>
      </c>
      <c r="K385" t="str" cm="1">
        <f t="array" ref="K3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5">
        <f>ROUND(calls[[#This Row],[Satisfaction Rating]],0)</f>
        <v>4</v>
      </c>
    </row>
    <row r="386" spans="2:12">
      <c r="B386" t="s">
        <v>408</v>
      </c>
      <c r="C386" t="s">
        <v>8</v>
      </c>
      <c r="D386">
        <v>47</v>
      </c>
      <c r="E386" s="17" t="s">
        <v>11</v>
      </c>
      <c r="F386" s="18">
        <v>45035</v>
      </c>
      <c r="G386">
        <v>84</v>
      </c>
      <c r="H386">
        <v>4.0999999999999996</v>
      </c>
      <c r="I386">
        <f>IF(MONTH(calls[[#This Row],[Date of Call]])&lt;=6, YEAR(calls[[#This Row],[Date of Call]]), YEAR(calls[[#This Row],[Date of Call]])+1)</f>
        <v>2023</v>
      </c>
      <c r="J386" t="str">
        <f>TEXT(calls[[#This Row],[Date of Call]],"DDDD")</f>
        <v>Wednesday</v>
      </c>
      <c r="K386" t="str" cm="1">
        <f t="array" ref="K38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86">
        <f>ROUND(calls[[#This Row],[Satisfaction Rating]],0)</f>
        <v>4</v>
      </c>
    </row>
    <row r="387" spans="2:12">
      <c r="B387" t="s">
        <v>409</v>
      </c>
      <c r="C387" t="s">
        <v>21</v>
      </c>
      <c r="D387">
        <v>60</v>
      </c>
      <c r="E387" s="17" t="s">
        <v>6</v>
      </c>
      <c r="F387" s="18">
        <v>45035</v>
      </c>
      <c r="G387">
        <v>84</v>
      </c>
      <c r="H387">
        <v>4.8</v>
      </c>
      <c r="I387">
        <f>IF(MONTH(calls[[#This Row],[Date of Call]])&lt;=6, YEAR(calls[[#This Row],[Date of Call]]), YEAR(calls[[#This Row],[Date of Call]])+1)</f>
        <v>2023</v>
      </c>
      <c r="J387" t="str">
        <f>TEXT(calls[[#This Row],[Date of Call]],"DDDD")</f>
        <v>Wednesday</v>
      </c>
      <c r="K387" t="str" cm="1">
        <f t="array" ref="K38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87">
        <f>ROUND(calls[[#This Row],[Satisfaction Rating]],0)</f>
        <v>5</v>
      </c>
    </row>
    <row r="388" spans="2:12">
      <c r="B388" t="s">
        <v>410</v>
      </c>
      <c r="C388" t="s">
        <v>7</v>
      </c>
      <c r="D388">
        <v>64</v>
      </c>
      <c r="E388" s="17" t="s">
        <v>9</v>
      </c>
      <c r="F388" s="18">
        <v>45035</v>
      </c>
      <c r="G388">
        <v>170</v>
      </c>
      <c r="H388">
        <v>2.2999999999999998</v>
      </c>
      <c r="I388">
        <f>IF(MONTH(calls[[#This Row],[Date of Call]])&lt;=6, YEAR(calls[[#This Row],[Date of Call]]), YEAR(calls[[#This Row],[Date of Call]])+1)</f>
        <v>2023</v>
      </c>
      <c r="J388" t="str">
        <f>TEXT(calls[[#This Row],[Date of Call]],"DDDD")</f>
        <v>Wednesday</v>
      </c>
      <c r="K388" t="str" cm="1">
        <f t="array" ref="K3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8">
        <f>ROUND(calls[[#This Row],[Satisfaction Rating]],0)</f>
        <v>2</v>
      </c>
    </row>
    <row r="389" spans="2:12">
      <c r="B389" t="s">
        <v>411</v>
      </c>
      <c r="C389" t="s">
        <v>5</v>
      </c>
      <c r="D389">
        <v>62</v>
      </c>
      <c r="E389" s="17" t="s">
        <v>11</v>
      </c>
      <c r="F389" s="18">
        <v>45035</v>
      </c>
      <c r="G389">
        <v>35</v>
      </c>
      <c r="H389">
        <v>4.4000000000000004</v>
      </c>
      <c r="I389">
        <f>IF(MONTH(calls[[#This Row],[Date of Call]])&lt;=6, YEAR(calls[[#This Row],[Date of Call]]), YEAR(calls[[#This Row],[Date of Call]])+1)</f>
        <v>2023</v>
      </c>
      <c r="J389" t="str">
        <f>TEXT(calls[[#This Row],[Date of Call]],"DDDD")</f>
        <v>Wednesday</v>
      </c>
      <c r="K389" t="str" cm="1">
        <f t="array" ref="K3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9">
        <f>ROUND(calls[[#This Row],[Satisfaction Rating]],0)</f>
        <v>4</v>
      </c>
    </row>
    <row r="390" spans="2:12">
      <c r="B390" t="s">
        <v>412</v>
      </c>
      <c r="C390" t="s">
        <v>18</v>
      </c>
      <c r="D390">
        <v>88</v>
      </c>
      <c r="E390" s="17" t="s">
        <v>11</v>
      </c>
      <c r="F390" s="18">
        <v>45036</v>
      </c>
      <c r="G390">
        <v>35</v>
      </c>
      <c r="H390">
        <v>3.8</v>
      </c>
      <c r="I390">
        <f>IF(MONTH(calls[[#This Row],[Date of Call]])&lt;=6, YEAR(calls[[#This Row],[Date of Call]]), YEAR(calls[[#This Row],[Date of Call]])+1)</f>
        <v>2023</v>
      </c>
      <c r="J390" t="str">
        <f>TEXT(calls[[#This Row],[Date of Call]],"DDDD")</f>
        <v>Thursday</v>
      </c>
      <c r="K390" t="str" cm="1">
        <f t="array" ref="K3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0">
        <f>ROUND(calls[[#This Row],[Satisfaction Rating]],0)</f>
        <v>4</v>
      </c>
    </row>
    <row r="391" spans="2:12">
      <c r="B391" t="s">
        <v>413</v>
      </c>
      <c r="C391" t="s">
        <v>19</v>
      </c>
      <c r="D391">
        <v>116</v>
      </c>
      <c r="E391" s="17" t="s">
        <v>11</v>
      </c>
      <c r="F391" s="18">
        <v>45036</v>
      </c>
      <c r="G391">
        <v>132</v>
      </c>
      <c r="H391">
        <v>5</v>
      </c>
      <c r="I391">
        <f>IF(MONTH(calls[[#This Row],[Date of Call]])&lt;=6, YEAR(calls[[#This Row],[Date of Call]]), YEAR(calls[[#This Row],[Date of Call]])+1)</f>
        <v>2023</v>
      </c>
      <c r="J391" t="str">
        <f>TEXT(calls[[#This Row],[Date of Call]],"DDDD")</f>
        <v>Thursday</v>
      </c>
      <c r="K391" t="str" cm="1">
        <f t="array" ref="K3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1">
        <f>ROUND(calls[[#This Row],[Satisfaction Rating]],0)</f>
        <v>5</v>
      </c>
    </row>
    <row r="392" spans="2:12">
      <c r="B392" t="s">
        <v>414</v>
      </c>
      <c r="C392" t="s">
        <v>12</v>
      </c>
      <c r="D392">
        <v>82</v>
      </c>
      <c r="E392" s="17" t="s">
        <v>10</v>
      </c>
      <c r="F392" s="18">
        <v>45037</v>
      </c>
      <c r="G392">
        <v>144</v>
      </c>
      <c r="H392">
        <v>3.3</v>
      </c>
      <c r="I392">
        <f>IF(MONTH(calls[[#This Row],[Date of Call]])&lt;=6, YEAR(calls[[#This Row],[Date of Call]]), YEAR(calls[[#This Row],[Date of Call]])+1)</f>
        <v>2023</v>
      </c>
      <c r="J392" t="str">
        <f>TEXT(calls[[#This Row],[Date of Call]],"DDDD")</f>
        <v>Friday</v>
      </c>
      <c r="K392" t="str" cm="1">
        <f t="array" ref="K3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2">
        <f>ROUND(calls[[#This Row],[Satisfaction Rating]],0)</f>
        <v>3</v>
      </c>
    </row>
    <row r="393" spans="2:12">
      <c r="B393" t="s">
        <v>415</v>
      </c>
      <c r="C393" t="s">
        <v>5</v>
      </c>
      <c r="D393">
        <v>99</v>
      </c>
      <c r="E393" s="17" t="s">
        <v>9</v>
      </c>
      <c r="F393" s="18">
        <v>45037</v>
      </c>
      <c r="G393">
        <v>48</v>
      </c>
      <c r="H393">
        <v>5</v>
      </c>
      <c r="I393">
        <f>IF(MONTH(calls[[#This Row],[Date of Call]])&lt;=6, YEAR(calls[[#This Row],[Date of Call]]), YEAR(calls[[#This Row],[Date of Call]])+1)</f>
        <v>2023</v>
      </c>
      <c r="J393" t="str">
        <f>TEXT(calls[[#This Row],[Date of Call]],"DDDD")</f>
        <v>Friday</v>
      </c>
      <c r="K393" t="str" cm="1">
        <f t="array" ref="K3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3">
        <f>ROUND(calls[[#This Row],[Satisfaction Rating]],0)</f>
        <v>5</v>
      </c>
    </row>
    <row r="394" spans="2:12">
      <c r="B394" t="s">
        <v>416</v>
      </c>
      <c r="C394" t="s">
        <v>5</v>
      </c>
      <c r="D394">
        <v>55</v>
      </c>
      <c r="E394" s="17" t="s">
        <v>10</v>
      </c>
      <c r="F394" s="18">
        <v>45037</v>
      </c>
      <c r="G394">
        <v>200</v>
      </c>
      <c r="H394">
        <v>2.2999999999999998</v>
      </c>
      <c r="I394">
        <f>IF(MONTH(calls[[#This Row],[Date of Call]])&lt;=6, YEAR(calls[[#This Row],[Date of Call]]), YEAR(calls[[#This Row],[Date of Call]])+1)</f>
        <v>2023</v>
      </c>
      <c r="J394" t="str">
        <f>TEXT(calls[[#This Row],[Date of Call]],"DDDD")</f>
        <v>Friday</v>
      </c>
      <c r="K394" t="str" cm="1">
        <f t="array" ref="K39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94">
        <f>ROUND(calls[[#This Row],[Satisfaction Rating]],0)</f>
        <v>2</v>
      </c>
    </row>
    <row r="395" spans="2:12">
      <c r="B395" t="s">
        <v>417</v>
      </c>
      <c r="C395" t="s">
        <v>7</v>
      </c>
      <c r="D395">
        <v>61</v>
      </c>
      <c r="E395" s="17" t="s">
        <v>6</v>
      </c>
      <c r="F395" s="18">
        <v>45037</v>
      </c>
      <c r="G395">
        <v>38</v>
      </c>
      <c r="H395">
        <v>4.8</v>
      </c>
      <c r="I395">
        <f>IF(MONTH(calls[[#This Row],[Date of Call]])&lt;=6, YEAR(calls[[#This Row],[Date of Call]]), YEAR(calls[[#This Row],[Date of Call]])+1)</f>
        <v>2023</v>
      </c>
      <c r="J395" t="str">
        <f>TEXT(calls[[#This Row],[Date of Call]],"DDDD")</f>
        <v>Friday</v>
      </c>
      <c r="K395" t="str" cm="1">
        <f t="array" ref="K3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5">
        <f>ROUND(calls[[#This Row],[Satisfaction Rating]],0)</f>
        <v>5</v>
      </c>
    </row>
    <row r="396" spans="2:12">
      <c r="B396" t="s">
        <v>418</v>
      </c>
      <c r="C396" t="s">
        <v>19</v>
      </c>
      <c r="D396">
        <v>36</v>
      </c>
      <c r="E396" s="17" t="s">
        <v>13</v>
      </c>
      <c r="F396" s="18">
        <v>45037</v>
      </c>
      <c r="G396">
        <v>81</v>
      </c>
      <c r="H396">
        <v>3.7</v>
      </c>
      <c r="I396">
        <f>IF(MONTH(calls[[#This Row],[Date of Call]])&lt;=6, YEAR(calls[[#This Row],[Date of Call]]), YEAR(calls[[#This Row],[Date of Call]])+1)</f>
        <v>2023</v>
      </c>
      <c r="J396" t="str">
        <f>TEXT(calls[[#This Row],[Date of Call]],"DDDD")</f>
        <v>Friday</v>
      </c>
      <c r="K396" t="str" cm="1">
        <f t="array" ref="K39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96">
        <f>ROUND(calls[[#This Row],[Satisfaction Rating]],0)</f>
        <v>4</v>
      </c>
    </row>
    <row r="397" spans="2:12">
      <c r="B397" t="s">
        <v>419</v>
      </c>
      <c r="C397" t="s">
        <v>12</v>
      </c>
      <c r="D397">
        <v>123</v>
      </c>
      <c r="E397" s="17" t="s">
        <v>11</v>
      </c>
      <c r="F397" s="18">
        <v>45037</v>
      </c>
      <c r="G397">
        <v>120</v>
      </c>
      <c r="H397">
        <v>4.2</v>
      </c>
      <c r="I397">
        <f>IF(MONTH(calls[[#This Row],[Date of Call]])&lt;=6, YEAR(calls[[#This Row],[Date of Call]]), YEAR(calls[[#This Row],[Date of Call]])+1)</f>
        <v>2023</v>
      </c>
      <c r="J397" t="str">
        <f>TEXT(calls[[#This Row],[Date of Call]],"DDDD")</f>
        <v>Friday</v>
      </c>
      <c r="K397" t="str" cm="1">
        <f t="array" ref="K39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97">
        <f>ROUND(calls[[#This Row],[Satisfaction Rating]],0)</f>
        <v>4</v>
      </c>
    </row>
    <row r="398" spans="2:12">
      <c r="B398" t="s">
        <v>420</v>
      </c>
      <c r="C398" t="s">
        <v>24</v>
      </c>
      <c r="D398">
        <v>24</v>
      </c>
      <c r="E398" s="17" t="s">
        <v>6</v>
      </c>
      <c r="F398" s="18">
        <v>45037</v>
      </c>
      <c r="G398">
        <v>74</v>
      </c>
      <c r="H398">
        <v>4.8</v>
      </c>
      <c r="I398">
        <f>IF(MONTH(calls[[#This Row],[Date of Call]])&lt;=6, YEAR(calls[[#This Row],[Date of Call]]), YEAR(calls[[#This Row],[Date of Call]])+1)</f>
        <v>2023</v>
      </c>
      <c r="J398" t="str">
        <f>TEXT(calls[[#This Row],[Date of Call]],"DDDD")</f>
        <v>Friday</v>
      </c>
      <c r="K398" t="str" cm="1">
        <f t="array" ref="K39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98">
        <f>ROUND(calls[[#This Row],[Satisfaction Rating]],0)</f>
        <v>5</v>
      </c>
    </row>
    <row r="399" spans="2:12">
      <c r="B399" t="s">
        <v>421</v>
      </c>
      <c r="C399" t="s">
        <v>12</v>
      </c>
      <c r="D399">
        <v>43</v>
      </c>
      <c r="E399" s="17" t="s">
        <v>11</v>
      </c>
      <c r="F399" s="18">
        <v>45038</v>
      </c>
      <c r="G399">
        <v>128</v>
      </c>
      <c r="H399">
        <v>4.7</v>
      </c>
      <c r="I399">
        <f>IF(MONTH(calls[[#This Row],[Date of Call]])&lt;=6, YEAR(calls[[#This Row],[Date of Call]]), YEAR(calls[[#This Row],[Date of Call]])+1)</f>
        <v>2023</v>
      </c>
      <c r="J399" t="str">
        <f>TEXT(calls[[#This Row],[Date of Call]],"DDDD")</f>
        <v>Saturday</v>
      </c>
      <c r="K399" t="str" cm="1">
        <f t="array" ref="K3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99">
        <f>ROUND(calls[[#This Row],[Satisfaction Rating]],0)</f>
        <v>5</v>
      </c>
    </row>
    <row r="400" spans="2:12">
      <c r="B400" t="s">
        <v>422</v>
      </c>
      <c r="C400" t="s">
        <v>21</v>
      </c>
      <c r="D400">
        <v>95</v>
      </c>
      <c r="E400" s="17" t="s">
        <v>9</v>
      </c>
      <c r="F400" s="18">
        <v>45038</v>
      </c>
      <c r="G400">
        <v>21</v>
      </c>
      <c r="H400">
        <v>3.9</v>
      </c>
      <c r="I400">
        <f>IF(MONTH(calls[[#This Row],[Date of Call]])&lt;=6, YEAR(calls[[#This Row],[Date of Call]]), YEAR(calls[[#This Row],[Date of Call]])+1)</f>
        <v>2023</v>
      </c>
      <c r="J400" t="str">
        <f>TEXT(calls[[#This Row],[Date of Call]],"DDDD")</f>
        <v>Saturday</v>
      </c>
      <c r="K400" t="str" cm="1">
        <f t="array" ref="K4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0">
        <f>ROUND(calls[[#This Row],[Satisfaction Rating]],0)</f>
        <v>4</v>
      </c>
    </row>
    <row r="401" spans="2:12">
      <c r="B401" t="s">
        <v>423</v>
      </c>
      <c r="C401" t="s">
        <v>5</v>
      </c>
      <c r="D401">
        <v>53</v>
      </c>
      <c r="E401" s="17" t="s">
        <v>11</v>
      </c>
      <c r="F401" s="18">
        <v>45038</v>
      </c>
      <c r="G401">
        <v>110</v>
      </c>
      <c r="H401">
        <v>4.3</v>
      </c>
      <c r="I401">
        <f>IF(MONTH(calls[[#This Row],[Date of Call]])&lt;=6, YEAR(calls[[#This Row],[Date of Call]]), YEAR(calls[[#This Row],[Date of Call]])+1)</f>
        <v>2023</v>
      </c>
      <c r="J401" t="str">
        <f>TEXT(calls[[#This Row],[Date of Call]],"DDDD")</f>
        <v>Saturday</v>
      </c>
      <c r="K401" t="str" cm="1">
        <f t="array" ref="K40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01">
        <f>ROUND(calls[[#This Row],[Satisfaction Rating]],0)</f>
        <v>4</v>
      </c>
    </row>
    <row r="402" spans="2:12">
      <c r="B402" t="s">
        <v>424</v>
      </c>
      <c r="C402" t="s">
        <v>12</v>
      </c>
      <c r="D402">
        <v>113</v>
      </c>
      <c r="E402" s="17" t="s">
        <v>11</v>
      </c>
      <c r="F402" s="18">
        <v>45038</v>
      </c>
      <c r="G402">
        <v>145</v>
      </c>
      <c r="H402">
        <v>4</v>
      </c>
      <c r="I402">
        <f>IF(MONTH(calls[[#This Row],[Date of Call]])&lt;=6, YEAR(calls[[#This Row],[Date of Call]]), YEAR(calls[[#This Row],[Date of Call]])+1)</f>
        <v>2023</v>
      </c>
      <c r="J402" t="str">
        <f>TEXT(calls[[#This Row],[Date of Call]],"DDDD")</f>
        <v>Saturday</v>
      </c>
      <c r="K402" t="str" cm="1">
        <f t="array" ref="K4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2">
        <f>ROUND(calls[[#This Row],[Satisfaction Rating]],0)</f>
        <v>4</v>
      </c>
    </row>
    <row r="403" spans="2:12">
      <c r="B403" t="s">
        <v>425</v>
      </c>
      <c r="C403" t="s">
        <v>5</v>
      </c>
      <c r="D403">
        <v>89</v>
      </c>
      <c r="E403" s="17" t="s">
        <v>13</v>
      </c>
      <c r="F403" s="18">
        <v>45038</v>
      </c>
      <c r="G403">
        <v>129</v>
      </c>
      <c r="H403">
        <v>4</v>
      </c>
      <c r="I403">
        <f>IF(MONTH(calls[[#This Row],[Date of Call]])&lt;=6, YEAR(calls[[#This Row],[Date of Call]]), YEAR(calls[[#This Row],[Date of Call]])+1)</f>
        <v>2023</v>
      </c>
      <c r="J403" t="str">
        <f>TEXT(calls[[#This Row],[Date of Call]],"DDDD")</f>
        <v>Saturday</v>
      </c>
      <c r="K403" t="str" cm="1">
        <f t="array" ref="K4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3">
        <f>ROUND(calls[[#This Row],[Satisfaction Rating]],0)</f>
        <v>4</v>
      </c>
    </row>
    <row r="404" spans="2:12">
      <c r="B404" t="s">
        <v>426</v>
      </c>
      <c r="C404" t="s">
        <v>18</v>
      </c>
      <c r="D404">
        <v>84</v>
      </c>
      <c r="E404" s="17" t="s">
        <v>10</v>
      </c>
      <c r="F404" s="18">
        <v>45038</v>
      </c>
      <c r="G404">
        <v>156</v>
      </c>
      <c r="H404">
        <v>3.2</v>
      </c>
      <c r="I404">
        <f>IF(MONTH(calls[[#This Row],[Date of Call]])&lt;=6, YEAR(calls[[#This Row],[Date of Call]]), YEAR(calls[[#This Row],[Date of Call]])+1)</f>
        <v>2023</v>
      </c>
      <c r="J404" t="str">
        <f>TEXT(calls[[#This Row],[Date of Call]],"DDDD")</f>
        <v>Saturday</v>
      </c>
      <c r="K404" t="str" cm="1">
        <f t="array" ref="K4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4">
        <f>ROUND(calls[[#This Row],[Satisfaction Rating]],0)</f>
        <v>3</v>
      </c>
    </row>
    <row r="405" spans="2:12">
      <c r="B405" t="s">
        <v>427</v>
      </c>
      <c r="C405" t="s">
        <v>24</v>
      </c>
      <c r="D405">
        <v>130</v>
      </c>
      <c r="E405" s="17" t="s">
        <v>11</v>
      </c>
      <c r="F405" s="18">
        <v>45039</v>
      </c>
      <c r="G405">
        <v>120</v>
      </c>
      <c r="H405">
        <v>3.8</v>
      </c>
      <c r="I405">
        <f>IF(MONTH(calls[[#This Row],[Date of Call]])&lt;=6, YEAR(calls[[#This Row],[Date of Call]]), YEAR(calls[[#This Row],[Date of Call]])+1)</f>
        <v>2023</v>
      </c>
      <c r="J405" t="str">
        <f>TEXT(calls[[#This Row],[Date of Call]],"DDDD")</f>
        <v>Sunday</v>
      </c>
      <c r="K405" t="str" cm="1">
        <f t="array" ref="K40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05">
        <f>ROUND(calls[[#This Row],[Satisfaction Rating]],0)</f>
        <v>4</v>
      </c>
    </row>
    <row r="406" spans="2:12">
      <c r="B406" t="s">
        <v>428</v>
      </c>
      <c r="C406" t="s">
        <v>21</v>
      </c>
      <c r="D406">
        <v>163</v>
      </c>
      <c r="E406" s="17" t="s">
        <v>13</v>
      </c>
      <c r="F406" s="18">
        <v>45039</v>
      </c>
      <c r="G406">
        <v>62</v>
      </c>
      <c r="H406">
        <v>3.4</v>
      </c>
      <c r="I406">
        <f>IF(MONTH(calls[[#This Row],[Date of Call]])&lt;=6, YEAR(calls[[#This Row],[Date of Call]]), YEAR(calls[[#This Row],[Date of Call]])+1)</f>
        <v>2023</v>
      </c>
      <c r="J406" t="str">
        <f>TEXT(calls[[#This Row],[Date of Call]],"DDDD")</f>
        <v>Sunday</v>
      </c>
      <c r="K406" t="str" cm="1">
        <f t="array" ref="K40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06">
        <f>ROUND(calls[[#This Row],[Satisfaction Rating]],0)</f>
        <v>3</v>
      </c>
    </row>
    <row r="407" spans="2:12">
      <c r="B407" t="s">
        <v>429</v>
      </c>
      <c r="C407" t="s">
        <v>22</v>
      </c>
      <c r="D407">
        <v>127</v>
      </c>
      <c r="E407" s="17" t="s">
        <v>11</v>
      </c>
      <c r="F407" s="18">
        <v>45039</v>
      </c>
      <c r="G407">
        <v>160</v>
      </c>
      <c r="H407">
        <v>3.2</v>
      </c>
      <c r="I407">
        <f>IF(MONTH(calls[[#This Row],[Date of Call]])&lt;=6, YEAR(calls[[#This Row],[Date of Call]]), YEAR(calls[[#This Row],[Date of Call]])+1)</f>
        <v>2023</v>
      </c>
      <c r="J407" t="str">
        <f>TEXT(calls[[#This Row],[Date of Call]],"DDDD")</f>
        <v>Sunday</v>
      </c>
      <c r="K407" t="str" cm="1">
        <f t="array" ref="K40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07">
        <f>ROUND(calls[[#This Row],[Satisfaction Rating]],0)</f>
        <v>3</v>
      </c>
    </row>
    <row r="408" spans="2:12">
      <c r="B408" t="s">
        <v>430</v>
      </c>
      <c r="C408" t="s">
        <v>12</v>
      </c>
      <c r="D408">
        <v>50</v>
      </c>
      <c r="E408" s="17" t="s">
        <v>11</v>
      </c>
      <c r="F408" s="18">
        <v>45039</v>
      </c>
      <c r="G408">
        <v>56</v>
      </c>
      <c r="H408">
        <v>4.7</v>
      </c>
      <c r="I408">
        <f>IF(MONTH(calls[[#This Row],[Date of Call]])&lt;=6, YEAR(calls[[#This Row],[Date of Call]]), YEAR(calls[[#This Row],[Date of Call]])+1)</f>
        <v>2023</v>
      </c>
      <c r="J408" t="str">
        <f>TEXT(calls[[#This Row],[Date of Call]],"DDDD")</f>
        <v>Sunday</v>
      </c>
      <c r="K408" t="str" cm="1">
        <f t="array" ref="K40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08">
        <f>ROUND(calls[[#This Row],[Satisfaction Rating]],0)</f>
        <v>5</v>
      </c>
    </row>
    <row r="409" spans="2:12">
      <c r="B409" t="s">
        <v>431</v>
      </c>
      <c r="C409" t="s">
        <v>15</v>
      </c>
      <c r="D409">
        <v>88</v>
      </c>
      <c r="E409" s="17" t="s">
        <v>6</v>
      </c>
      <c r="F409" s="18">
        <v>45039</v>
      </c>
      <c r="G409">
        <v>72</v>
      </c>
      <c r="H409">
        <v>4</v>
      </c>
      <c r="I409">
        <f>IF(MONTH(calls[[#This Row],[Date of Call]])&lt;=6, YEAR(calls[[#This Row],[Date of Call]]), YEAR(calls[[#This Row],[Date of Call]])+1)</f>
        <v>2023</v>
      </c>
      <c r="J409" t="str">
        <f>TEXT(calls[[#This Row],[Date of Call]],"DDDD")</f>
        <v>Sunday</v>
      </c>
      <c r="K409" t="str" cm="1">
        <f t="array" ref="K4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9">
        <f>ROUND(calls[[#This Row],[Satisfaction Rating]],0)</f>
        <v>4</v>
      </c>
    </row>
    <row r="410" spans="2:12">
      <c r="B410" t="s">
        <v>432</v>
      </c>
      <c r="C410" t="s">
        <v>12</v>
      </c>
      <c r="D410">
        <v>139</v>
      </c>
      <c r="E410" s="17" t="s">
        <v>9</v>
      </c>
      <c r="F410" s="18">
        <v>45040</v>
      </c>
      <c r="G410">
        <v>81</v>
      </c>
      <c r="H410">
        <v>4.8</v>
      </c>
      <c r="I410">
        <f>IF(MONTH(calls[[#This Row],[Date of Call]])&lt;=6, YEAR(calls[[#This Row],[Date of Call]]), YEAR(calls[[#This Row],[Date of Call]])+1)</f>
        <v>2023</v>
      </c>
      <c r="J410" t="str">
        <f>TEXT(calls[[#This Row],[Date of Call]],"DDDD")</f>
        <v>Monday</v>
      </c>
      <c r="K410" t="str" cm="1">
        <f t="array" ref="K41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0">
        <f>ROUND(calls[[#This Row],[Satisfaction Rating]],0)</f>
        <v>5</v>
      </c>
    </row>
    <row r="411" spans="2:12">
      <c r="B411" t="s">
        <v>433</v>
      </c>
      <c r="C411" t="s">
        <v>21</v>
      </c>
      <c r="D411">
        <v>111</v>
      </c>
      <c r="E411" s="17" t="s">
        <v>11</v>
      </c>
      <c r="F411" s="18">
        <v>45040</v>
      </c>
      <c r="G411">
        <v>144</v>
      </c>
      <c r="H411">
        <v>3.9</v>
      </c>
      <c r="I411">
        <f>IF(MONTH(calls[[#This Row],[Date of Call]])&lt;=6, YEAR(calls[[#This Row],[Date of Call]]), YEAR(calls[[#This Row],[Date of Call]])+1)</f>
        <v>2023</v>
      </c>
      <c r="J411" t="str">
        <f>TEXT(calls[[#This Row],[Date of Call]],"DDDD")</f>
        <v>Monday</v>
      </c>
      <c r="K411" t="str" cm="1">
        <f t="array" ref="K4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1">
        <f>ROUND(calls[[#This Row],[Satisfaction Rating]],0)</f>
        <v>4</v>
      </c>
    </row>
    <row r="412" spans="2:12">
      <c r="B412" t="s">
        <v>434</v>
      </c>
      <c r="C412" t="s">
        <v>23</v>
      </c>
      <c r="D412">
        <v>115</v>
      </c>
      <c r="E412" s="17" t="s">
        <v>9</v>
      </c>
      <c r="F412" s="18">
        <v>45040</v>
      </c>
      <c r="G412">
        <v>111</v>
      </c>
      <c r="H412">
        <v>4.3</v>
      </c>
      <c r="I412">
        <f>IF(MONTH(calls[[#This Row],[Date of Call]])&lt;=6, YEAR(calls[[#This Row],[Date of Call]]), YEAR(calls[[#This Row],[Date of Call]])+1)</f>
        <v>2023</v>
      </c>
      <c r="J412" t="str">
        <f>TEXT(calls[[#This Row],[Date of Call]],"DDDD")</f>
        <v>Monday</v>
      </c>
      <c r="K412" t="str" cm="1">
        <f t="array" ref="K4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2">
        <f>ROUND(calls[[#This Row],[Satisfaction Rating]],0)</f>
        <v>4</v>
      </c>
    </row>
    <row r="413" spans="2:12">
      <c r="B413" t="s">
        <v>435</v>
      </c>
      <c r="C413" t="s">
        <v>5</v>
      </c>
      <c r="D413">
        <v>26</v>
      </c>
      <c r="E413" s="17" t="s">
        <v>13</v>
      </c>
      <c r="F413" s="18">
        <v>45040</v>
      </c>
      <c r="G413">
        <v>43</v>
      </c>
      <c r="H413">
        <v>4.2</v>
      </c>
      <c r="I413">
        <f>IF(MONTH(calls[[#This Row],[Date of Call]])&lt;=6, YEAR(calls[[#This Row],[Date of Call]]), YEAR(calls[[#This Row],[Date of Call]])+1)</f>
        <v>2023</v>
      </c>
      <c r="J413" t="str">
        <f>TEXT(calls[[#This Row],[Date of Call]],"DDDD")</f>
        <v>Monday</v>
      </c>
      <c r="K413" t="str" cm="1">
        <f t="array" ref="K41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13">
        <f>ROUND(calls[[#This Row],[Satisfaction Rating]],0)</f>
        <v>4</v>
      </c>
    </row>
    <row r="414" spans="2:12">
      <c r="B414" t="s">
        <v>436</v>
      </c>
      <c r="C414" t="s">
        <v>18</v>
      </c>
      <c r="D414">
        <v>131</v>
      </c>
      <c r="E414" s="17" t="s">
        <v>6</v>
      </c>
      <c r="F414" s="18">
        <v>45040</v>
      </c>
      <c r="G414">
        <v>41</v>
      </c>
      <c r="H414">
        <v>4.9000000000000004</v>
      </c>
      <c r="I414">
        <f>IF(MONTH(calls[[#This Row],[Date of Call]])&lt;=6, YEAR(calls[[#This Row],[Date of Call]]), YEAR(calls[[#This Row],[Date of Call]])+1)</f>
        <v>2023</v>
      </c>
      <c r="J414" t="str">
        <f>TEXT(calls[[#This Row],[Date of Call]],"DDDD")</f>
        <v>Monday</v>
      </c>
      <c r="K414" t="str" cm="1">
        <f t="array" ref="K4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4">
        <f>ROUND(calls[[#This Row],[Satisfaction Rating]],0)</f>
        <v>5</v>
      </c>
    </row>
    <row r="415" spans="2:12">
      <c r="B415" t="s">
        <v>437</v>
      </c>
      <c r="C415" t="s">
        <v>23</v>
      </c>
      <c r="D415">
        <v>27</v>
      </c>
      <c r="E415" s="17" t="s">
        <v>6</v>
      </c>
      <c r="F415" s="18">
        <v>45040</v>
      </c>
      <c r="G415">
        <v>74</v>
      </c>
      <c r="H415">
        <v>4</v>
      </c>
      <c r="I415">
        <f>IF(MONTH(calls[[#This Row],[Date of Call]])&lt;=6, YEAR(calls[[#This Row],[Date of Call]]), YEAR(calls[[#This Row],[Date of Call]])+1)</f>
        <v>2023</v>
      </c>
      <c r="J415" t="str">
        <f>TEXT(calls[[#This Row],[Date of Call]],"DDDD")</f>
        <v>Monday</v>
      </c>
      <c r="K415" t="str" cm="1">
        <f t="array" ref="K41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15">
        <f>ROUND(calls[[#This Row],[Satisfaction Rating]],0)</f>
        <v>4</v>
      </c>
    </row>
    <row r="416" spans="2:12">
      <c r="B416" t="s">
        <v>438</v>
      </c>
      <c r="C416" t="s">
        <v>16</v>
      </c>
      <c r="D416">
        <v>75</v>
      </c>
      <c r="E416" s="17" t="s">
        <v>11</v>
      </c>
      <c r="F416" s="18">
        <v>45040</v>
      </c>
      <c r="G416">
        <v>43</v>
      </c>
      <c r="H416">
        <v>4.9000000000000004</v>
      </c>
      <c r="I416">
        <f>IF(MONTH(calls[[#This Row],[Date of Call]])&lt;=6, YEAR(calls[[#This Row],[Date of Call]]), YEAR(calls[[#This Row],[Date of Call]])+1)</f>
        <v>2023</v>
      </c>
      <c r="J416" t="str">
        <f>TEXT(calls[[#This Row],[Date of Call]],"DDDD")</f>
        <v>Monday</v>
      </c>
      <c r="K416" t="str" cm="1">
        <f t="array" ref="K4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6">
        <f>ROUND(calls[[#This Row],[Satisfaction Rating]],0)</f>
        <v>5</v>
      </c>
    </row>
    <row r="417" spans="2:12">
      <c r="B417" t="s">
        <v>439</v>
      </c>
      <c r="C417" t="s">
        <v>7</v>
      </c>
      <c r="D417">
        <v>123</v>
      </c>
      <c r="E417" s="17" t="s">
        <v>6</v>
      </c>
      <c r="F417" s="18">
        <v>45040</v>
      </c>
      <c r="G417">
        <v>128</v>
      </c>
      <c r="H417">
        <v>3.6</v>
      </c>
      <c r="I417">
        <f>IF(MONTH(calls[[#This Row],[Date of Call]])&lt;=6, YEAR(calls[[#This Row],[Date of Call]]), YEAR(calls[[#This Row],[Date of Call]])+1)</f>
        <v>2023</v>
      </c>
      <c r="J417" t="str">
        <f>TEXT(calls[[#This Row],[Date of Call]],"DDDD")</f>
        <v>Monday</v>
      </c>
      <c r="K417" t="str" cm="1">
        <f t="array" ref="K4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7">
        <f>ROUND(calls[[#This Row],[Satisfaction Rating]],0)</f>
        <v>4</v>
      </c>
    </row>
    <row r="418" spans="2:12">
      <c r="B418" t="s">
        <v>440</v>
      </c>
      <c r="C418" t="s">
        <v>20</v>
      </c>
      <c r="D418">
        <v>129</v>
      </c>
      <c r="E418" s="17" t="s">
        <v>6</v>
      </c>
      <c r="F418" s="18">
        <v>45041</v>
      </c>
      <c r="G418">
        <v>144</v>
      </c>
      <c r="H418">
        <v>4.0999999999999996</v>
      </c>
      <c r="I418">
        <f>IF(MONTH(calls[[#This Row],[Date of Call]])&lt;=6, YEAR(calls[[#This Row],[Date of Call]]), YEAR(calls[[#This Row],[Date of Call]])+1)</f>
        <v>2023</v>
      </c>
      <c r="J418" t="str">
        <f>TEXT(calls[[#This Row],[Date of Call]],"DDDD")</f>
        <v>Tuesday</v>
      </c>
      <c r="K418" t="str" cm="1">
        <f t="array" ref="K41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8">
        <f>ROUND(calls[[#This Row],[Satisfaction Rating]],0)</f>
        <v>4</v>
      </c>
    </row>
    <row r="419" spans="2:12">
      <c r="B419" t="s">
        <v>441</v>
      </c>
      <c r="C419" t="s">
        <v>16</v>
      </c>
      <c r="D419">
        <v>124</v>
      </c>
      <c r="E419" s="17" t="s">
        <v>9</v>
      </c>
      <c r="F419" s="18">
        <v>45041</v>
      </c>
      <c r="G419">
        <v>132</v>
      </c>
      <c r="H419">
        <v>4.9000000000000004</v>
      </c>
      <c r="I419">
        <f>IF(MONTH(calls[[#This Row],[Date of Call]])&lt;=6, YEAR(calls[[#This Row],[Date of Call]]), YEAR(calls[[#This Row],[Date of Call]])+1)</f>
        <v>2023</v>
      </c>
      <c r="J419" t="str">
        <f>TEXT(calls[[#This Row],[Date of Call]],"DDDD")</f>
        <v>Tuesday</v>
      </c>
      <c r="K419" t="str" cm="1">
        <f t="array" ref="K41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9">
        <f>ROUND(calls[[#This Row],[Satisfaction Rating]],0)</f>
        <v>5</v>
      </c>
    </row>
    <row r="420" spans="2:12">
      <c r="B420" t="s">
        <v>442</v>
      </c>
      <c r="C420" t="s">
        <v>23</v>
      </c>
      <c r="D420">
        <v>108</v>
      </c>
      <c r="E420" s="17" t="s">
        <v>9</v>
      </c>
      <c r="F420" s="18">
        <v>45041</v>
      </c>
      <c r="G420">
        <v>180</v>
      </c>
      <c r="H420">
        <v>3.9</v>
      </c>
      <c r="I420">
        <f>IF(MONTH(calls[[#This Row],[Date of Call]])&lt;=6, YEAR(calls[[#This Row],[Date of Call]]), YEAR(calls[[#This Row],[Date of Call]])+1)</f>
        <v>2023</v>
      </c>
      <c r="J420" t="str">
        <f>TEXT(calls[[#This Row],[Date of Call]],"DDDD")</f>
        <v>Tuesday</v>
      </c>
      <c r="K420" t="str" cm="1">
        <f t="array" ref="K4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0">
        <f>ROUND(calls[[#This Row],[Satisfaction Rating]],0)</f>
        <v>4</v>
      </c>
    </row>
    <row r="421" spans="2:12">
      <c r="B421" t="s">
        <v>443</v>
      </c>
      <c r="C421" t="s">
        <v>8</v>
      </c>
      <c r="D421">
        <v>15</v>
      </c>
      <c r="E421" s="17" t="s">
        <v>9</v>
      </c>
      <c r="F421" s="18">
        <v>45041</v>
      </c>
      <c r="G421">
        <v>31</v>
      </c>
      <c r="H421">
        <v>4.0999999999999996</v>
      </c>
      <c r="I421">
        <f>IF(MONTH(calls[[#This Row],[Date of Call]])&lt;=6, YEAR(calls[[#This Row],[Date of Call]]), YEAR(calls[[#This Row],[Date of Call]])+1)</f>
        <v>2023</v>
      </c>
      <c r="J421" t="str">
        <f>TEXT(calls[[#This Row],[Date of Call]],"DDDD")</f>
        <v>Tuesday</v>
      </c>
      <c r="K421" t="str" cm="1">
        <f t="array" ref="K42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21">
        <f>ROUND(calls[[#This Row],[Satisfaction Rating]],0)</f>
        <v>4</v>
      </c>
    </row>
    <row r="422" spans="2:12">
      <c r="B422" t="s">
        <v>444</v>
      </c>
      <c r="C422" t="s">
        <v>23</v>
      </c>
      <c r="D422">
        <v>66</v>
      </c>
      <c r="E422" s="17" t="s">
        <v>9</v>
      </c>
      <c r="F422" s="18">
        <v>45041</v>
      </c>
      <c r="G422">
        <v>102</v>
      </c>
      <c r="H422">
        <v>3.8</v>
      </c>
      <c r="I422">
        <f>IF(MONTH(calls[[#This Row],[Date of Call]])&lt;=6, YEAR(calls[[#This Row],[Date of Call]]), YEAR(calls[[#This Row],[Date of Call]])+1)</f>
        <v>2023</v>
      </c>
      <c r="J422" t="str">
        <f>TEXT(calls[[#This Row],[Date of Call]],"DDDD")</f>
        <v>Tuesday</v>
      </c>
      <c r="K422" t="str" cm="1">
        <f t="array" ref="K4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2">
        <f>ROUND(calls[[#This Row],[Satisfaction Rating]],0)</f>
        <v>4</v>
      </c>
    </row>
    <row r="423" spans="2:12">
      <c r="B423" t="s">
        <v>445</v>
      </c>
      <c r="C423" t="s">
        <v>15</v>
      </c>
      <c r="D423">
        <v>126</v>
      </c>
      <c r="E423" s="17" t="s">
        <v>11</v>
      </c>
      <c r="F423" s="18">
        <v>45042</v>
      </c>
      <c r="G423">
        <v>175</v>
      </c>
      <c r="H423">
        <v>4.8</v>
      </c>
      <c r="I423">
        <f>IF(MONTH(calls[[#This Row],[Date of Call]])&lt;=6, YEAR(calls[[#This Row],[Date of Call]]), YEAR(calls[[#This Row],[Date of Call]])+1)</f>
        <v>2023</v>
      </c>
      <c r="J423" t="str">
        <f>TEXT(calls[[#This Row],[Date of Call]],"DDDD")</f>
        <v>Wednesday</v>
      </c>
      <c r="K423" t="str" cm="1">
        <f t="array" ref="K42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23">
        <f>ROUND(calls[[#This Row],[Satisfaction Rating]],0)</f>
        <v>5</v>
      </c>
    </row>
    <row r="424" spans="2:12">
      <c r="B424" t="s">
        <v>446</v>
      </c>
      <c r="C424" t="s">
        <v>16</v>
      </c>
      <c r="D424">
        <v>26</v>
      </c>
      <c r="E424" s="17" t="s">
        <v>10</v>
      </c>
      <c r="F424" s="18">
        <v>45042</v>
      </c>
      <c r="G424">
        <v>87</v>
      </c>
      <c r="H424">
        <v>4.7</v>
      </c>
      <c r="I424">
        <f>IF(MONTH(calls[[#This Row],[Date of Call]])&lt;=6, YEAR(calls[[#This Row],[Date of Call]]), YEAR(calls[[#This Row],[Date of Call]])+1)</f>
        <v>2023</v>
      </c>
      <c r="J424" t="str">
        <f>TEXT(calls[[#This Row],[Date of Call]],"DDDD")</f>
        <v>Wednesday</v>
      </c>
      <c r="K424" t="str" cm="1">
        <f t="array" ref="K424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24">
        <f>ROUND(calls[[#This Row],[Satisfaction Rating]],0)</f>
        <v>5</v>
      </c>
    </row>
    <row r="425" spans="2:12">
      <c r="B425" t="s">
        <v>447</v>
      </c>
      <c r="C425" t="s">
        <v>24</v>
      </c>
      <c r="D425">
        <v>105</v>
      </c>
      <c r="E425" s="17" t="s">
        <v>11</v>
      </c>
      <c r="F425" s="18">
        <v>45042</v>
      </c>
      <c r="G425">
        <v>66</v>
      </c>
      <c r="H425">
        <v>4.2</v>
      </c>
      <c r="I425">
        <f>IF(MONTH(calls[[#This Row],[Date of Call]])&lt;=6, YEAR(calls[[#This Row],[Date of Call]]), YEAR(calls[[#This Row],[Date of Call]])+1)</f>
        <v>2023</v>
      </c>
      <c r="J425" t="str">
        <f>TEXT(calls[[#This Row],[Date of Call]],"DDDD")</f>
        <v>Wednesday</v>
      </c>
      <c r="K425" t="str" cm="1">
        <f t="array" ref="K4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5">
        <f>ROUND(calls[[#This Row],[Satisfaction Rating]],0)</f>
        <v>4</v>
      </c>
    </row>
    <row r="426" spans="2:12">
      <c r="B426" t="s">
        <v>448</v>
      </c>
      <c r="C426" t="s">
        <v>24</v>
      </c>
      <c r="D426">
        <v>31</v>
      </c>
      <c r="E426" s="17" t="s">
        <v>11</v>
      </c>
      <c r="F426" s="18">
        <v>45042</v>
      </c>
      <c r="G426">
        <v>25</v>
      </c>
      <c r="H426">
        <v>3.2</v>
      </c>
      <c r="I426">
        <f>IF(MONTH(calls[[#This Row],[Date of Call]])&lt;=6, YEAR(calls[[#This Row],[Date of Call]]), YEAR(calls[[#This Row],[Date of Call]])+1)</f>
        <v>2023</v>
      </c>
      <c r="J426" t="str">
        <f>TEXT(calls[[#This Row],[Date of Call]],"DDDD")</f>
        <v>Wednesday</v>
      </c>
      <c r="K426" t="str" cm="1">
        <f t="array" ref="K42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26">
        <f>ROUND(calls[[#This Row],[Satisfaction Rating]],0)</f>
        <v>3</v>
      </c>
    </row>
    <row r="427" spans="2:12">
      <c r="B427" t="s">
        <v>449</v>
      </c>
      <c r="C427" t="s">
        <v>23</v>
      </c>
      <c r="D427">
        <v>109</v>
      </c>
      <c r="E427" s="17" t="s">
        <v>9</v>
      </c>
      <c r="F427" s="18">
        <v>45042</v>
      </c>
      <c r="G427">
        <v>126</v>
      </c>
      <c r="H427">
        <v>3.4</v>
      </c>
      <c r="I427">
        <f>IF(MONTH(calls[[#This Row],[Date of Call]])&lt;=6, YEAR(calls[[#This Row],[Date of Call]]), YEAR(calls[[#This Row],[Date of Call]])+1)</f>
        <v>2023</v>
      </c>
      <c r="J427" t="str">
        <f>TEXT(calls[[#This Row],[Date of Call]],"DDDD")</f>
        <v>Wednesday</v>
      </c>
      <c r="K427" t="str" cm="1">
        <f t="array" ref="K42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7">
        <f>ROUND(calls[[#This Row],[Satisfaction Rating]],0)</f>
        <v>3</v>
      </c>
    </row>
    <row r="428" spans="2:12">
      <c r="B428" t="s">
        <v>450</v>
      </c>
      <c r="C428" t="s">
        <v>20</v>
      </c>
      <c r="D428">
        <v>113</v>
      </c>
      <c r="E428" s="17" t="s">
        <v>13</v>
      </c>
      <c r="F428" s="18">
        <v>45043</v>
      </c>
      <c r="G428">
        <v>42</v>
      </c>
      <c r="H428">
        <v>4.5999999999999996</v>
      </c>
      <c r="I428">
        <f>IF(MONTH(calls[[#This Row],[Date of Call]])&lt;=6, YEAR(calls[[#This Row],[Date of Call]]), YEAR(calls[[#This Row],[Date of Call]])+1)</f>
        <v>2023</v>
      </c>
      <c r="J428" t="str">
        <f>TEXT(calls[[#This Row],[Date of Call]],"DDDD")</f>
        <v>Thursday</v>
      </c>
      <c r="K428" t="str" cm="1">
        <f t="array" ref="K4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8">
        <f>ROUND(calls[[#This Row],[Satisfaction Rating]],0)</f>
        <v>5</v>
      </c>
    </row>
    <row r="429" spans="2:12">
      <c r="B429" t="s">
        <v>451</v>
      </c>
      <c r="C429" t="s">
        <v>15</v>
      </c>
      <c r="D429">
        <v>101</v>
      </c>
      <c r="E429" s="17" t="s">
        <v>10</v>
      </c>
      <c r="F429" s="18">
        <v>45043</v>
      </c>
      <c r="G429">
        <v>225</v>
      </c>
      <c r="H429">
        <v>1.9</v>
      </c>
      <c r="I429">
        <f>IF(MONTH(calls[[#This Row],[Date of Call]])&lt;=6, YEAR(calls[[#This Row],[Date of Call]]), YEAR(calls[[#This Row],[Date of Call]])+1)</f>
        <v>2023</v>
      </c>
      <c r="J429" t="str">
        <f>TEXT(calls[[#This Row],[Date of Call]],"DDDD")</f>
        <v>Thursday</v>
      </c>
      <c r="K429" t="str" cm="1">
        <f t="array" ref="K4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9">
        <f>ROUND(calls[[#This Row],[Satisfaction Rating]],0)</f>
        <v>2</v>
      </c>
    </row>
    <row r="430" spans="2:12">
      <c r="B430" t="s">
        <v>452</v>
      </c>
      <c r="C430" t="s">
        <v>21</v>
      </c>
      <c r="D430">
        <v>156</v>
      </c>
      <c r="E430" s="17" t="s">
        <v>10</v>
      </c>
      <c r="F430" s="18">
        <v>45043</v>
      </c>
      <c r="G430">
        <v>42</v>
      </c>
      <c r="H430">
        <v>3.3</v>
      </c>
      <c r="I430">
        <f>IF(MONTH(calls[[#This Row],[Date of Call]])&lt;=6, YEAR(calls[[#This Row],[Date of Call]]), YEAR(calls[[#This Row],[Date of Call]])+1)</f>
        <v>2023</v>
      </c>
      <c r="J430" t="str">
        <f>TEXT(calls[[#This Row],[Date of Call]],"DDDD")</f>
        <v>Thursday</v>
      </c>
      <c r="K430" t="str" cm="1">
        <f t="array" ref="K4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30">
        <f>ROUND(calls[[#This Row],[Satisfaction Rating]],0)</f>
        <v>3</v>
      </c>
    </row>
    <row r="431" spans="2:12">
      <c r="B431" t="s">
        <v>453</v>
      </c>
      <c r="C431" t="s">
        <v>23</v>
      </c>
      <c r="D431">
        <v>145</v>
      </c>
      <c r="E431" s="17" t="s">
        <v>13</v>
      </c>
      <c r="F431" s="18">
        <v>45044</v>
      </c>
      <c r="G431">
        <v>110</v>
      </c>
      <c r="H431">
        <v>3.1</v>
      </c>
      <c r="I431">
        <f>IF(MONTH(calls[[#This Row],[Date of Call]])&lt;=6, YEAR(calls[[#This Row],[Date of Call]]), YEAR(calls[[#This Row],[Date of Call]])+1)</f>
        <v>2023</v>
      </c>
      <c r="J431" t="str">
        <f>TEXT(calls[[#This Row],[Date of Call]],"DDDD")</f>
        <v>Friday</v>
      </c>
      <c r="K431" t="str" cm="1">
        <f t="array" ref="K43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31">
        <f>ROUND(calls[[#This Row],[Satisfaction Rating]],0)</f>
        <v>3</v>
      </c>
    </row>
    <row r="432" spans="2:12">
      <c r="B432" t="s">
        <v>454</v>
      </c>
      <c r="C432" t="s">
        <v>7</v>
      </c>
      <c r="D432">
        <v>36</v>
      </c>
      <c r="E432" s="17" t="s">
        <v>9</v>
      </c>
      <c r="F432" s="18">
        <v>45044</v>
      </c>
      <c r="G432">
        <v>225</v>
      </c>
      <c r="H432">
        <v>4.8</v>
      </c>
      <c r="I432">
        <f>IF(MONTH(calls[[#This Row],[Date of Call]])&lt;=6, YEAR(calls[[#This Row],[Date of Call]]), YEAR(calls[[#This Row],[Date of Call]])+1)</f>
        <v>2023</v>
      </c>
      <c r="J432" t="str">
        <f>TEXT(calls[[#This Row],[Date of Call]],"DDDD")</f>
        <v>Friday</v>
      </c>
      <c r="K432" t="str" cm="1">
        <f t="array" ref="K43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32">
        <f>ROUND(calls[[#This Row],[Satisfaction Rating]],0)</f>
        <v>5</v>
      </c>
    </row>
    <row r="433" spans="2:12">
      <c r="B433" t="s">
        <v>455</v>
      </c>
      <c r="C433" t="s">
        <v>24</v>
      </c>
      <c r="D433">
        <v>135</v>
      </c>
      <c r="E433" s="17" t="s">
        <v>6</v>
      </c>
      <c r="F433" s="18">
        <v>45045</v>
      </c>
      <c r="G433">
        <v>125</v>
      </c>
      <c r="H433">
        <v>3.3</v>
      </c>
      <c r="I433">
        <f>IF(MONTH(calls[[#This Row],[Date of Call]])&lt;=6, YEAR(calls[[#This Row],[Date of Call]]), YEAR(calls[[#This Row],[Date of Call]])+1)</f>
        <v>2023</v>
      </c>
      <c r="J433" t="str">
        <f>TEXT(calls[[#This Row],[Date of Call]],"DDDD")</f>
        <v>Saturday</v>
      </c>
      <c r="K433" t="str" cm="1">
        <f t="array" ref="K4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33">
        <f>ROUND(calls[[#This Row],[Satisfaction Rating]],0)</f>
        <v>3</v>
      </c>
    </row>
    <row r="434" spans="2:12">
      <c r="B434" t="s">
        <v>456</v>
      </c>
      <c r="C434" t="s">
        <v>15</v>
      </c>
      <c r="D434">
        <v>81</v>
      </c>
      <c r="E434" s="17" t="s">
        <v>9</v>
      </c>
      <c r="F434" s="18">
        <v>45045</v>
      </c>
      <c r="G434">
        <v>78</v>
      </c>
      <c r="H434">
        <v>2.9</v>
      </c>
      <c r="I434">
        <f>IF(MONTH(calls[[#This Row],[Date of Call]])&lt;=6, YEAR(calls[[#This Row],[Date of Call]]), YEAR(calls[[#This Row],[Date of Call]])+1)</f>
        <v>2023</v>
      </c>
      <c r="J434" t="str">
        <f>TEXT(calls[[#This Row],[Date of Call]],"DDDD")</f>
        <v>Saturday</v>
      </c>
      <c r="K434" t="str" cm="1">
        <f t="array" ref="K4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4">
        <f>ROUND(calls[[#This Row],[Satisfaction Rating]],0)</f>
        <v>3</v>
      </c>
    </row>
    <row r="435" spans="2:12">
      <c r="B435" t="s">
        <v>457</v>
      </c>
      <c r="C435" t="s">
        <v>15</v>
      </c>
      <c r="D435">
        <v>81</v>
      </c>
      <c r="E435" s="17" t="s">
        <v>13</v>
      </c>
      <c r="F435" s="18">
        <v>45045</v>
      </c>
      <c r="G435">
        <v>40</v>
      </c>
      <c r="H435">
        <v>2.4</v>
      </c>
      <c r="I435">
        <f>IF(MONTH(calls[[#This Row],[Date of Call]])&lt;=6, YEAR(calls[[#This Row],[Date of Call]]), YEAR(calls[[#This Row],[Date of Call]])+1)</f>
        <v>2023</v>
      </c>
      <c r="J435" t="str">
        <f>TEXT(calls[[#This Row],[Date of Call]],"DDDD")</f>
        <v>Saturday</v>
      </c>
      <c r="K435" t="str" cm="1">
        <f t="array" ref="K4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5">
        <f>ROUND(calls[[#This Row],[Satisfaction Rating]],0)</f>
        <v>2</v>
      </c>
    </row>
    <row r="436" spans="2:12">
      <c r="B436" t="s">
        <v>458</v>
      </c>
      <c r="C436" t="s">
        <v>22</v>
      </c>
      <c r="D436">
        <v>93</v>
      </c>
      <c r="E436" s="17" t="s">
        <v>11</v>
      </c>
      <c r="F436" s="18">
        <v>45045</v>
      </c>
      <c r="G436">
        <v>150</v>
      </c>
      <c r="H436">
        <v>4.5999999999999996</v>
      </c>
      <c r="I436">
        <f>IF(MONTH(calls[[#This Row],[Date of Call]])&lt;=6, YEAR(calls[[#This Row],[Date of Call]]), YEAR(calls[[#This Row],[Date of Call]])+1)</f>
        <v>2023</v>
      </c>
      <c r="J436" t="str">
        <f>TEXT(calls[[#This Row],[Date of Call]],"DDDD")</f>
        <v>Saturday</v>
      </c>
      <c r="K436" t="str" cm="1">
        <f t="array" ref="K43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6">
        <f>ROUND(calls[[#This Row],[Satisfaction Rating]],0)</f>
        <v>5</v>
      </c>
    </row>
    <row r="437" spans="2:12">
      <c r="B437" t="s">
        <v>459</v>
      </c>
      <c r="C437" t="s">
        <v>23</v>
      </c>
      <c r="D437">
        <v>14</v>
      </c>
      <c r="E437" s="17" t="s">
        <v>9</v>
      </c>
      <c r="F437" s="18">
        <v>45045</v>
      </c>
      <c r="G437">
        <v>96</v>
      </c>
      <c r="H437">
        <v>4.8</v>
      </c>
      <c r="I437">
        <f>IF(MONTH(calls[[#This Row],[Date of Call]])&lt;=6, YEAR(calls[[#This Row],[Date of Call]]), YEAR(calls[[#This Row],[Date of Call]])+1)</f>
        <v>2023</v>
      </c>
      <c r="J437" t="str">
        <f>TEXT(calls[[#This Row],[Date of Call]],"DDDD")</f>
        <v>Saturday</v>
      </c>
      <c r="K437" t="str" cm="1">
        <f t="array" ref="K43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37">
        <f>ROUND(calls[[#This Row],[Satisfaction Rating]],0)</f>
        <v>5</v>
      </c>
    </row>
    <row r="438" spans="2:12">
      <c r="B438" t="s">
        <v>460</v>
      </c>
      <c r="C438" t="s">
        <v>24</v>
      </c>
      <c r="D438">
        <v>95</v>
      </c>
      <c r="E438" s="17" t="s">
        <v>13</v>
      </c>
      <c r="F438" s="18">
        <v>45046</v>
      </c>
      <c r="G438">
        <v>75</v>
      </c>
      <c r="H438">
        <v>4.8</v>
      </c>
      <c r="I438">
        <f>IF(MONTH(calls[[#This Row],[Date of Call]])&lt;=6, YEAR(calls[[#This Row],[Date of Call]]), YEAR(calls[[#This Row],[Date of Call]])+1)</f>
        <v>2023</v>
      </c>
      <c r="J438" t="str">
        <f>TEXT(calls[[#This Row],[Date of Call]],"DDDD")</f>
        <v>Sunday</v>
      </c>
      <c r="K438" t="str" cm="1">
        <f t="array" ref="K4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8">
        <f>ROUND(calls[[#This Row],[Satisfaction Rating]],0)</f>
        <v>5</v>
      </c>
    </row>
    <row r="439" spans="2:12">
      <c r="B439" t="s">
        <v>461</v>
      </c>
      <c r="C439" t="s">
        <v>22</v>
      </c>
      <c r="D439">
        <v>81</v>
      </c>
      <c r="E439" s="17" t="s">
        <v>13</v>
      </c>
      <c r="F439" s="18">
        <v>45046</v>
      </c>
      <c r="G439">
        <v>60</v>
      </c>
      <c r="H439">
        <v>3.6</v>
      </c>
      <c r="I439">
        <f>IF(MONTH(calls[[#This Row],[Date of Call]])&lt;=6, YEAR(calls[[#This Row],[Date of Call]]), YEAR(calls[[#This Row],[Date of Call]])+1)</f>
        <v>2023</v>
      </c>
      <c r="J439" t="str">
        <f>TEXT(calls[[#This Row],[Date of Call]],"DDDD")</f>
        <v>Sunday</v>
      </c>
      <c r="K439" t="str" cm="1">
        <f t="array" ref="K4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9">
        <f>ROUND(calls[[#This Row],[Satisfaction Rating]],0)</f>
        <v>4</v>
      </c>
    </row>
    <row r="440" spans="2:12">
      <c r="B440" t="s">
        <v>462</v>
      </c>
      <c r="C440" t="s">
        <v>5</v>
      </c>
      <c r="D440">
        <v>60</v>
      </c>
      <c r="E440" s="17" t="s">
        <v>9</v>
      </c>
      <c r="F440" s="18">
        <v>45047</v>
      </c>
      <c r="G440">
        <v>41</v>
      </c>
      <c r="H440">
        <v>4.8</v>
      </c>
      <c r="I440">
        <f>IF(MONTH(calls[[#This Row],[Date of Call]])&lt;=6, YEAR(calls[[#This Row],[Date of Call]]), YEAR(calls[[#This Row],[Date of Call]])+1)</f>
        <v>2023</v>
      </c>
      <c r="J440" t="str">
        <f>TEXT(calls[[#This Row],[Date of Call]],"DDDD")</f>
        <v>Monday</v>
      </c>
      <c r="K440" t="str" cm="1">
        <f t="array" ref="K44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40">
        <f>ROUND(calls[[#This Row],[Satisfaction Rating]],0)</f>
        <v>5</v>
      </c>
    </row>
    <row r="441" spans="2:12">
      <c r="B441" t="s">
        <v>463</v>
      </c>
      <c r="C441" t="s">
        <v>14</v>
      </c>
      <c r="D441">
        <v>137</v>
      </c>
      <c r="E441" s="17" t="s">
        <v>11</v>
      </c>
      <c r="F441" s="18">
        <v>45047</v>
      </c>
      <c r="G441">
        <v>20</v>
      </c>
      <c r="H441">
        <v>4.2</v>
      </c>
      <c r="I441">
        <f>IF(MONTH(calls[[#This Row],[Date of Call]])&lt;=6, YEAR(calls[[#This Row],[Date of Call]]), YEAR(calls[[#This Row],[Date of Call]])+1)</f>
        <v>2023</v>
      </c>
      <c r="J441" t="str">
        <f>TEXT(calls[[#This Row],[Date of Call]],"DDDD")</f>
        <v>Monday</v>
      </c>
      <c r="K441" t="str" cm="1">
        <f t="array" ref="K44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41">
        <f>ROUND(calls[[#This Row],[Satisfaction Rating]],0)</f>
        <v>4</v>
      </c>
    </row>
    <row r="442" spans="2:12">
      <c r="B442" t="s">
        <v>464</v>
      </c>
      <c r="C442" t="s">
        <v>12</v>
      </c>
      <c r="D442">
        <v>112</v>
      </c>
      <c r="E442" s="17" t="s">
        <v>6</v>
      </c>
      <c r="F442" s="18">
        <v>45047</v>
      </c>
      <c r="G442">
        <v>84</v>
      </c>
      <c r="H442">
        <v>2.6</v>
      </c>
      <c r="I442">
        <f>IF(MONTH(calls[[#This Row],[Date of Call]])&lt;=6, YEAR(calls[[#This Row],[Date of Call]]), YEAR(calls[[#This Row],[Date of Call]])+1)</f>
        <v>2023</v>
      </c>
      <c r="J442" t="str">
        <f>TEXT(calls[[#This Row],[Date of Call]],"DDDD")</f>
        <v>Monday</v>
      </c>
      <c r="K442" t="str" cm="1">
        <f t="array" ref="K4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2">
        <f>ROUND(calls[[#This Row],[Satisfaction Rating]],0)</f>
        <v>3</v>
      </c>
    </row>
    <row r="443" spans="2:12">
      <c r="B443" t="s">
        <v>465</v>
      </c>
      <c r="C443" t="s">
        <v>24</v>
      </c>
      <c r="D443">
        <v>76</v>
      </c>
      <c r="E443" s="17" t="s">
        <v>10</v>
      </c>
      <c r="F443" s="18">
        <v>45047</v>
      </c>
      <c r="G443">
        <v>140</v>
      </c>
      <c r="H443">
        <v>3.7</v>
      </c>
      <c r="I443">
        <f>IF(MONTH(calls[[#This Row],[Date of Call]])&lt;=6, YEAR(calls[[#This Row],[Date of Call]]), YEAR(calls[[#This Row],[Date of Call]])+1)</f>
        <v>2023</v>
      </c>
      <c r="J443" t="str">
        <f>TEXT(calls[[#This Row],[Date of Call]],"DDDD")</f>
        <v>Monday</v>
      </c>
      <c r="K443" t="str" cm="1">
        <f t="array" ref="K4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3">
        <f>ROUND(calls[[#This Row],[Satisfaction Rating]],0)</f>
        <v>4</v>
      </c>
    </row>
    <row r="444" spans="2:12">
      <c r="B444" t="s">
        <v>466</v>
      </c>
      <c r="C444" t="s">
        <v>19</v>
      </c>
      <c r="D444">
        <v>73</v>
      </c>
      <c r="E444" s="17" t="s">
        <v>9</v>
      </c>
      <c r="F444" s="18">
        <v>45047</v>
      </c>
      <c r="G444">
        <v>66</v>
      </c>
      <c r="H444">
        <v>4.8</v>
      </c>
      <c r="I444">
        <f>IF(MONTH(calls[[#This Row],[Date of Call]])&lt;=6, YEAR(calls[[#This Row],[Date of Call]]), YEAR(calls[[#This Row],[Date of Call]])+1)</f>
        <v>2023</v>
      </c>
      <c r="J444" t="str">
        <f>TEXT(calls[[#This Row],[Date of Call]],"DDDD")</f>
        <v>Monday</v>
      </c>
      <c r="K444" t="str" cm="1">
        <f t="array" ref="K4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4">
        <f>ROUND(calls[[#This Row],[Satisfaction Rating]],0)</f>
        <v>5</v>
      </c>
    </row>
    <row r="445" spans="2:12">
      <c r="B445" t="s">
        <v>467</v>
      </c>
      <c r="C445" t="s">
        <v>18</v>
      </c>
      <c r="D445">
        <v>119</v>
      </c>
      <c r="E445" s="17" t="s">
        <v>11</v>
      </c>
      <c r="F445" s="18">
        <v>45047</v>
      </c>
      <c r="G445">
        <v>105</v>
      </c>
      <c r="H445">
        <v>4.7</v>
      </c>
      <c r="I445">
        <f>IF(MONTH(calls[[#This Row],[Date of Call]])&lt;=6, YEAR(calls[[#This Row],[Date of Call]]), YEAR(calls[[#This Row],[Date of Call]])+1)</f>
        <v>2023</v>
      </c>
      <c r="J445" t="str">
        <f>TEXT(calls[[#This Row],[Date of Call]],"DDDD")</f>
        <v>Monday</v>
      </c>
      <c r="K445" t="str" cm="1">
        <f t="array" ref="K4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5">
        <f>ROUND(calls[[#This Row],[Satisfaction Rating]],0)</f>
        <v>5</v>
      </c>
    </row>
    <row r="446" spans="2:12">
      <c r="B446" t="s">
        <v>468</v>
      </c>
      <c r="C446" t="s">
        <v>20</v>
      </c>
      <c r="D446">
        <v>135</v>
      </c>
      <c r="E446" s="17" t="s">
        <v>13</v>
      </c>
      <c r="F446" s="18">
        <v>45048</v>
      </c>
      <c r="G446">
        <v>104</v>
      </c>
      <c r="H446">
        <v>4.0999999999999996</v>
      </c>
      <c r="I446">
        <f>IF(MONTH(calls[[#This Row],[Date of Call]])&lt;=6, YEAR(calls[[#This Row],[Date of Call]]), YEAR(calls[[#This Row],[Date of Call]])+1)</f>
        <v>2023</v>
      </c>
      <c r="J446" t="str">
        <f>TEXT(calls[[#This Row],[Date of Call]],"DDDD")</f>
        <v>Tuesday</v>
      </c>
      <c r="K446" t="str" cm="1">
        <f t="array" ref="K44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46">
        <f>ROUND(calls[[#This Row],[Satisfaction Rating]],0)</f>
        <v>4</v>
      </c>
    </row>
    <row r="447" spans="2:12">
      <c r="B447" t="s">
        <v>469</v>
      </c>
      <c r="C447" t="s">
        <v>14</v>
      </c>
      <c r="D447">
        <v>41</v>
      </c>
      <c r="E447" s="17" t="s">
        <v>6</v>
      </c>
      <c r="F447" s="18">
        <v>45048</v>
      </c>
      <c r="G447">
        <v>123</v>
      </c>
      <c r="H447">
        <v>3.2</v>
      </c>
      <c r="I447">
        <f>IF(MONTH(calls[[#This Row],[Date of Call]])&lt;=6, YEAR(calls[[#This Row],[Date of Call]]), YEAR(calls[[#This Row],[Date of Call]])+1)</f>
        <v>2023</v>
      </c>
      <c r="J447" t="str">
        <f>TEXT(calls[[#This Row],[Date of Call]],"DDDD")</f>
        <v>Tuesday</v>
      </c>
      <c r="K447" t="str" cm="1">
        <f t="array" ref="K44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47">
        <f>ROUND(calls[[#This Row],[Satisfaction Rating]],0)</f>
        <v>3</v>
      </c>
    </row>
    <row r="448" spans="2:12">
      <c r="B448" t="s">
        <v>470</v>
      </c>
      <c r="C448" t="s">
        <v>23</v>
      </c>
      <c r="D448">
        <v>35</v>
      </c>
      <c r="E448" s="17" t="s">
        <v>13</v>
      </c>
      <c r="F448" s="18">
        <v>45049</v>
      </c>
      <c r="G448">
        <v>215</v>
      </c>
      <c r="H448">
        <v>4.3</v>
      </c>
      <c r="I448">
        <f>IF(MONTH(calls[[#This Row],[Date of Call]])&lt;=6, YEAR(calls[[#This Row],[Date of Call]]), YEAR(calls[[#This Row],[Date of Call]])+1)</f>
        <v>2023</v>
      </c>
      <c r="J448" t="str">
        <f>TEXT(calls[[#This Row],[Date of Call]],"DDDD")</f>
        <v>Wednesday</v>
      </c>
      <c r="K448" t="str" cm="1">
        <f t="array" ref="K44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48">
        <f>ROUND(calls[[#This Row],[Satisfaction Rating]],0)</f>
        <v>4</v>
      </c>
    </row>
    <row r="449" spans="2:12">
      <c r="B449" t="s">
        <v>471</v>
      </c>
      <c r="C449" t="s">
        <v>20</v>
      </c>
      <c r="D449">
        <v>96</v>
      </c>
      <c r="E449" s="17" t="s">
        <v>9</v>
      </c>
      <c r="F449" s="18">
        <v>45049</v>
      </c>
      <c r="G449">
        <v>46</v>
      </c>
      <c r="H449">
        <v>0.7</v>
      </c>
      <c r="I449">
        <f>IF(MONTH(calls[[#This Row],[Date of Call]])&lt;=6, YEAR(calls[[#This Row],[Date of Call]]), YEAR(calls[[#This Row],[Date of Call]])+1)</f>
        <v>2023</v>
      </c>
      <c r="J449" t="str">
        <f>TEXT(calls[[#This Row],[Date of Call]],"DDDD")</f>
        <v>Wednesday</v>
      </c>
      <c r="K449" t="str" cm="1">
        <f t="array" ref="K4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9">
        <f>ROUND(calls[[#This Row],[Satisfaction Rating]],0)</f>
        <v>1</v>
      </c>
    </row>
    <row r="450" spans="2:12">
      <c r="B450" t="s">
        <v>472</v>
      </c>
      <c r="C450" t="s">
        <v>22</v>
      </c>
      <c r="D450">
        <v>61</v>
      </c>
      <c r="E450" s="17" t="s">
        <v>6</v>
      </c>
      <c r="F450" s="18">
        <v>45049</v>
      </c>
      <c r="G450">
        <v>115</v>
      </c>
      <c r="H450">
        <v>3.7</v>
      </c>
      <c r="I450">
        <f>IF(MONTH(calls[[#This Row],[Date of Call]])&lt;=6, YEAR(calls[[#This Row],[Date of Call]]), YEAR(calls[[#This Row],[Date of Call]])+1)</f>
        <v>2023</v>
      </c>
      <c r="J450" t="str">
        <f>TEXT(calls[[#This Row],[Date of Call]],"DDDD")</f>
        <v>Wednesday</v>
      </c>
      <c r="K450" t="str" cm="1">
        <f t="array" ref="K45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0">
        <f>ROUND(calls[[#This Row],[Satisfaction Rating]],0)</f>
        <v>4</v>
      </c>
    </row>
    <row r="451" spans="2:12">
      <c r="B451" t="s">
        <v>473</v>
      </c>
      <c r="C451" t="s">
        <v>20</v>
      </c>
      <c r="D451">
        <v>91</v>
      </c>
      <c r="E451" s="17" t="s">
        <v>6</v>
      </c>
      <c r="F451" s="18">
        <v>45049</v>
      </c>
      <c r="G451">
        <v>124</v>
      </c>
      <c r="H451">
        <v>3.9</v>
      </c>
      <c r="I451">
        <f>IF(MONTH(calls[[#This Row],[Date of Call]])&lt;=6, YEAR(calls[[#This Row],[Date of Call]]), YEAR(calls[[#This Row],[Date of Call]])+1)</f>
        <v>2023</v>
      </c>
      <c r="J451" t="str">
        <f>TEXT(calls[[#This Row],[Date of Call]],"DDDD")</f>
        <v>Wednesday</v>
      </c>
      <c r="K451" t="str" cm="1">
        <f t="array" ref="K4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1">
        <f>ROUND(calls[[#This Row],[Satisfaction Rating]],0)</f>
        <v>4</v>
      </c>
    </row>
    <row r="452" spans="2:12">
      <c r="B452" t="s">
        <v>474</v>
      </c>
      <c r="C452" t="s">
        <v>17</v>
      </c>
      <c r="D452">
        <v>30</v>
      </c>
      <c r="E452" s="17" t="s">
        <v>6</v>
      </c>
      <c r="F452" s="18">
        <v>45050</v>
      </c>
      <c r="G452">
        <v>205</v>
      </c>
      <c r="H452">
        <v>4.5</v>
      </c>
      <c r="I452">
        <f>IF(MONTH(calls[[#This Row],[Date of Call]])&lt;=6, YEAR(calls[[#This Row],[Date of Call]]), YEAR(calls[[#This Row],[Date of Call]])+1)</f>
        <v>2023</v>
      </c>
      <c r="J452" t="str">
        <f>TEXT(calls[[#This Row],[Date of Call]],"DDDD")</f>
        <v>Thursday</v>
      </c>
      <c r="K452" t="str" cm="1">
        <f t="array" ref="K45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52">
        <f>ROUND(calls[[#This Row],[Satisfaction Rating]],0)</f>
        <v>5</v>
      </c>
    </row>
    <row r="453" spans="2:12">
      <c r="B453" t="s">
        <v>475</v>
      </c>
      <c r="C453" t="s">
        <v>5</v>
      </c>
      <c r="D453">
        <v>111</v>
      </c>
      <c r="E453" s="17" t="s">
        <v>11</v>
      </c>
      <c r="F453" s="18">
        <v>45050</v>
      </c>
      <c r="G453">
        <v>90</v>
      </c>
      <c r="H453">
        <v>2.8</v>
      </c>
      <c r="I453">
        <f>IF(MONTH(calls[[#This Row],[Date of Call]])&lt;=6, YEAR(calls[[#This Row],[Date of Call]]), YEAR(calls[[#This Row],[Date of Call]])+1)</f>
        <v>2023</v>
      </c>
      <c r="J453" t="str">
        <f>TEXT(calls[[#This Row],[Date of Call]],"DDDD")</f>
        <v>Thursday</v>
      </c>
      <c r="K453" t="str" cm="1">
        <f t="array" ref="K45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3">
        <f>ROUND(calls[[#This Row],[Satisfaction Rating]],0)</f>
        <v>3</v>
      </c>
    </row>
    <row r="454" spans="2:12">
      <c r="B454" t="s">
        <v>476</v>
      </c>
      <c r="C454" t="s">
        <v>22</v>
      </c>
      <c r="D454">
        <v>81</v>
      </c>
      <c r="E454" s="17" t="s">
        <v>9</v>
      </c>
      <c r="F454" s="18">
        <v>45050</v>
      </c>
      <c r="G454">
        <v>92</v>
      </c>
      <c r="H454">
        <v>4.9000000000000004</v>
      </c>
      <c r="I454">
        <f>IF(MONTH(calls[[#This Row],[Date of Call]])&lt;=6, YEAR(calls[[#This Row],[Date of Call]]), YEAR(calls[[#This Row],[Date of Call]])+1)</f>
        <v>2023</v>
      </c>
      <c r="J454" t="str">
        <f>TEXT(calls[[#This Row],[Date of Call]],"DDDD")</f>
        <v>Thursday</v>
      </c>
      <c r="K454" t="str" cm="1">
        <f t="array" ref="K45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4">
        <f>ROUND(calls[[#This Row],[Satisfaction Rating]],0)</f>
        <v>5</v>
      </c>
    </row>
    <row r="455" spans="2:12">
      <c r="B455" t="s">
        <v>477</v>
      </c>
      <c r="C455" t="s">
        <v>24</v>
      </c>
      <c r="D455">
        <v>40</v>
      </c>
      <c r="E455" s="17" t="s">
        <v>13</v>
      </c>
      <c r="F455" s="18">
        <v>45052</v>
      </c>
      <c r="G455">
        <v>108</v>
      </c>
      <c r="H455">
        <v>4.2</v>
      </c>
      <c r="I455">
        <f>IF(MONTH(calls[[#This Row],[Date of Call]])&lt;=6, YEAR(calls[[#This Row],[Date of Call]]), YEAR(calls[[#This Row],[Date of Call]])+1)</f>
        <v>2023</v>
      </c>
      <c r="J455" t="str">
        <f>TEXT(calls[[#This Row],[Date of Call]],"DDDD")</f>
        <v>Saturday</v>
      </c>
      <c r="K455" t="str" cm="1">
        <f t="array" ref="K45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55">
        <f>ROUND(calls[[#This Row],[Satisfaction Rating]],0)</f>
        <v>4</v>
      </c>
    </row>
    <row r="456" spans="2:12">
      <c r="B456" t="s">
        <v>478</v>
      </c>
      <c r="C456" t="s">
        <v>5</v>
      </c>
      <c r="D456">
        <v>143</v>
      </c>
      <c r="E456" s="17" t="s">
        <v>13</v>
      </c>
      <c r="F456" s="18">
        <v>45052</v>
      </c>
      <c r="G456">
        <v>54</v>
      </c>
      <c r="H456">
        <v>4.4000000000000004</v>
      </c>
      <c r="I456">
        <f>IF(MONTH(calls[[#This Row],[Date of Call]])&lt;=6, YEAR(calls[[#This Row],[Date of Call]]), YEAR(calls[[#This Row],[Date of Call]])+1)</f>
        <v>2023</v>
      </c>
      <c r="J456" t="str">
        <f>TEXT(calls[[#This Row],[Date of Call]],"DDDD")</f>
        <v>Saturday</v>
      </c>
      <c r="K456" t="str" cm="1">
        <f t="array" ref="K45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56">
        <f>ROUND(calls[[#This Row],[Satisfaction Rating]],0)</f>
        <v>4</v>
      </c>
    </row>
    <row r="457" spans="2:12">
      <c r="B457" t="s">
        <v>479</v>
      </c>
      <c r="C457" t="s">
        <v>24</v>
      </c>
      <c r="D457">
        <v>70</v>
      </c>
      <c r="E457" s="17" t="s">
        <v>13</v>
      </c>
      <c r="F457" s="18">
        <v>45053</v>
      </c>
      <c r="G457">
        <v>44</v>
      </c>
      <c r="H457">
        <v>3.5</v>
      </c>
      <c r="I457">
        <f>IF(MONTH(calls[[#This Row],[Date of Call]])&lt;=6, YEAR(calls[[#This Row],[Date of Call]]), YEAR(calls[[#This Row],[Date of Call]])+1)</f>
        <v>2023</v>
      </c>
      <c r="J457" t="str">
        <f>TEXT(calls[[#This Row],[Date of Call]],"DDDD")</f>
        <v>Sunday</v>
      </c>
      <c r="K457" t="str" cm="1">
        <f t="array" ref="K4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7">
        <f>ROUND(calls[[#This Row],[Satisfaction Rating]],0)</f>
        <v>4</v>
      </c>
    </row>
    <row r="458" spans="2:12">
      <c r="B458" t="s">
        <v>480</v>
      </c>
      <c r="C458" t="s">
        <v>19</v>
      </c>
      <c r="D458">
        <v>137</v>
      </c>
      <c r="E458" s="17" t="s">
        <v>13</v>
      </c>
      <c r="F458" s="18">
        <v>45053</v>
      </c>
      <c r="G458">
        <v>44</v>
      </c>
      <c r="H458">
        <v>4.7</v>
      </c>
      <c r="I458">
        <f>IF(MONTH(calls[[#This Row],[Date of Call]])&lt;=6, YEAR(calls[[#This Row],[Date of Call]]), YEAR(calls[[#This Row],[Date of Call]])+1)</f>
        <v>2023</v>
      </c>
      <c r="J458" t="str">
        <f>TEXT(calls[[#This Row],[Date of Call]],"DDDD")</f>
        <v>Sunday</v>
      </c>
      <c r="K458" t="str" cm="1">
        <f t="array" ref="K45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58">
        <f>ROUND(calls[[#This Row],[Satisfaction Rating]],0)</f>
        <v>5</v>
      </c>
    </row>
    <row r="459" spans="2:12">
      <c r="B459" t="s">
        <v>481</v>
      </c>
      <c r="C459" t="s">
        <v>20</v>
      </c>
      <c r="D459">
        <v>52</v>
      </c>
      <c r="E459" s="17" t="s">
        <v>9</v>
      </c>
      <c r="F459" s="18">
        <v>45054</v>
      </c>
      <c r="G459">
        <v>37</v>
      </c>
      <c r="H459">
        <v>4.9000000000000004</v>
      </c>
      <c r="I459">
        <f>IF(MONTH(calls[[#This Row],[Date of Call]])&lt;=6, YEAR(calls[[#This Row],[Date of Call]]), YEAR(calls[[#This Row],[Date of Call]])+1)</f>
        <v>2023</v>
      </c>
      <c r="J459" t="str">
        <f>TEXT(calls[[#This Row],[Date of Call]],"DDDD")</f>
        <v>Monday</v>
      </c>
      <c r="K459" t="str" cm="1">
        <f t="array" ref="K4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59">
        <f>ROUND(calls[[#This Row],[Satisfaction Rating]],0)</f>
        <v>5</v>
      </c>
    </row>
    <row r="460" spans="2:12">
      <c r="B460" t="s">
        <v>482</v>
      </c>
      <c r="C460" t="s">
        <v>12</v>
      </c>
      <c r="D460">
        <v>31</v>
      </c>
      <c r="E460" s="17" t="s">
        <v>11</v>
      </c>
      <c r="F460" s="18">
        <v>45054</v>
      </c>
      <c r="G460">
        <v>180</v>
      </c>
      <c r="H460">
        <v>4.5</v>
      </c>
      <c r="I460">
        <f>IF(MONTH(calls[[#This Row],[Date of Call]])&lt;=6, YEAR(calls[[#This Row],[Date of Call]]), YEAR(calls[[#This Row],[Date of Call]])+1)</f>
        <v>2023</v>
      </c>
      <c r="J460" t="str">
        <f>TEXT(calls[[#This Row],[Date of Call]],"DDDD")</f>
        <v>Monday</v>
      </c>
      <c r="K460" t="str" cm="1">
        <f t="array" ref="K46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0">
        <f>ROUND(calls[[#This Row],[Satisfaction Rating]],0)</f>
        <v>5</v>
      </c>
    </row>
    <row r="461" spans="2:12">
      <c r="B461" t="s">
        <v>483</v>
      </c>
      <c r="C461" t="s">
        <v>20</v>
      </c>
      <c r="D461">
        <v>114</v>
      </c>
      <c r="E461" s="17" t="s">
        <v>6</v>
      </c>
      <c r="F461" s="18">
        <v>45054</v>
      </c>
      <c r="G461">
        <v>105</v>
      </c>
      <c r="H461">
        <v>4.9000000000000004</v>
      </c>
      <c r="I461">
        <f>IF(MONTH(calls[[#This Row],[Date of Call]])&lt;=6, YEAR(calls[[#This Row],[Date of Call]]), YEAR(calls[[#This Row],[Date of Call]])+1)</f>
        <v>2023</v>
      </c>
      <c r="J461" t="str">
        <f>TEXT(calls[[#This Row],[Date of Call]],"DDDD")</f>
        <v>Monday</v>
      </c>
      <c r="K461" t="str" cm="1">
        <f t="array" ref="K4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1">
        <f>ROUND(calls[[#This Row],[Satisfaction Rating]],0)</f>
        <v>5</v>
      </c>
    </row>
    <row r="462" spans="2:12">
      <c r="B462" t="s">
        <v>484</v>
      </c>
      <c r="C462" t="s">
        <v>19</v>
      </c>
      <c r="D462">
        <v>73</v>
      </c>
      <c r="E462" s="17" t="s">
        <v>10</v>
      </c>
      <c r="F462" s="18">
        <v>45054</v>
      </c>
      <c r="G462">
        <v>87</v>
      </c>
      <c r="H462">
        <v>3.6</v>
      </c>
      <c r="I462">
        <f>IF(MONTH(calls[[#This Row],[Date of Call]])&lt;=6, YEAR(calls[[#This Row],[Date of Call]]), YEAR(calls[[#This Row],[Date of Call]])+1)</f>
        <v>2023</v>
      </c>
      <c r="J462" t="str">
        <f>TEXT(calls[[#This Row],[Date of Call]],"DDDD")</f>
        <v>Monday</v>
      </c>
      <c r="K462" t="str" cm="1">
        <f t="array" ref="K4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2">
        <f>ROUND(calls[[#This Row],[Satisfaction Rating]],0)</f>
        <v>4</v>
      </c>
    </row>
    <row r="463" spans="2:12">
      <c r="B463" t="s">
        <v>485</v>
      </c>
      <c r="C463" t="s">
        <v>22</v>
      </c>
      <c r="D463">
        <v>25</v>
      </c>
      <c r="E463" s="17" t="s">
        <v>11</v>
      </c>
      <c r="F463" s="18">
        <v>45054</v>
      </c>
      <c r="G463">
        <v>52</v>
      </c>
      <c r="H463">
        <v>3.8</v>
      </c>
      <c r="I463">
        <f>IF(MONTH(calls[[#This Row],[Date of Call]])&lt;=6, YEAR(calls[[#This Row],[Date of Call]]), YEAR(calls[[#This Row],[Date of Call]])+1)</f>
        <v>2023</v>
      </c>
      <c r="J463" t="str">
        <f>TEXT(calls[[#This Row],[Date of Call]],"DDDD")</f>
        <v>Monday</v>
      </c>
      <c r="K463" t="str" cm="1">
        <f t="array" ref="K46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63">
        <f>ROUND(calls[[#This Row],[Satisfaction Rating]],0)</f>
        <v>4</v>
      </c>
    </row>
    <row r="464" spans="2:12">
      <c r="B464" t="s">
        <v>486</v>
      </c>
      <c r="C464" t="s">
        <v>8</v>
      </c>
      <c r="D464">
        <v>44</v>
      </c>
      <c r="E464" s="17" t="s">
        <v>6</v>
      </c>
      <c r="F464" s="18">
        <v>45054</v>
      </c>
      <c r="G464">
        <v>63</v>
      </c>
      <c r="H464">
        <v>3.5</v>
      </c>
      <c r="I464">
        <f>IF(MONTH(calls[[#This Row],[Date of Call]])&lt;=6, YEAR(calls[[#This Row],[Date of Call]]), YEAR(calls[[#This Row],[Date of Call]])+1)</f>
        <v>2023</v>
      </c>
      <c r="J464" t="str">
        <f>TEXT(calls[[#This Row],[Date of Call]],"DDDD")</f>
        <v>Monday</v>
      </c>
      <c r="K464" t="str" cm="1">
        <f t="array" ref="K46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4">
        <f>ROUND(calls[[#This Row],[Satisfaction Rating]],0)</f>
        <v>4</v>
      </c>
    </row>
    <row r="465" spans="2:12">
      <c r="B465" t="s">
        <v>487</v>
      </c>
      <c r="C465" t="s">
        <v>7</v>
      </c>
      <c r="D465">
        <v>34</v>
      </c>
      <c r="E465" s="17" t="s">
        <v>9</v>
      </c>
      <c r="F465" s="18">
        <v>45055</v>
      </c>
      <c r="G465">
        <v>195</v>
      </c>
      <c r="H465">
        <v>4.8</v>
      </c>
      <c r="I465">
        <f>IF(MONTH(calls[[#This Row],[Date of Call]])&lt;=6, YEAR(calls[[#This Row],[Date of Call]]), YEAR(calls[[#This Row],[Date of Call]])+1)</f>
        <v>2023</v>
      </c>
      <c r="J465" t="str">
        <f>TEXT(calls[[#This Row],[Date of Call]],"DDDD")</f>
        <v>Tuesday</v>
      </c>
      <c r="K465" t="str" cm="1">
        <f t="array" ref="K4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5">
        <f>ROUND(calls[[#This Row],[Satisfaction Rating]],0)</f>
        <v>5</v>
      </c>
    </row>
    <row r="466" spans="2:12">
      <c r="B466" t="s">
        <v>488</v>
      </c>
      <c r="C466" t="s">
        <v>5</v>
      </c>
      <c r="D466">
        <v>89</v>
      </c>
      <c r="E466" s="17" t="s">
        <v>13</v>
      </c>
      <c r="F466" s="18">
        <v>45056</v>
      </c>
      <c r="G466">
        <v>176</v>
      </c>
      <c r="H466">
        <v>4.5</v>
      </c>
      <c r="I466">
        <f>IF(MONTH(calls[[#This Row],[Date of Call]])&lt;=6, YEAR(calls[[#This Row],[Date of Call]]), YEAR(calls[[#This Row],[Date of Call]])+1)</f>
        <v>2023</v>
      </c>
      <c r="J466" t="str">
        <f>TEXT(calls[[#This Row],[Date of Call]],"DDDD")</f>
        <v>Wednesday</v>
      </c>
      <c r="K466" t="str" cm="1">
        <f t="array" ref="K4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6">
        <f>ROUND(calls[[#This Row],[Satisfaction Rating]],0)</f>
        <v>5</v>
      </c>
    </row>
    <row r="467" spans="2:12">
      <c r="B467" t="s">
        <v>489</v>
      </c>
      <c r="C467" t="s">
        <v>18</v>
      </c>
      <c r="D467">
        <v>54</v>
      </c>
      <c r="E467" s="17" t="s">
        <v>11</v>
      </c>
      <c r="F467" s="18">
        <v>45057</v>
      </c>
      <c r="G467">
        <v>31</v>
      </c>
      <c r="H467">
        <v>3.3</v>
      </c>
      <c r="I467">
        <f>IF(MONTH(calls[[#This Row],[Date of Call]])&lt;=6, YEAR(calls[[#This Row],[Date of Call]]), YEAR(calls[[#This Row],[Date of Call]])+1)</f>
        <v>2023</v>
      </c>
      <c r="J467" t="str">
        <f>TEXT(calls[[#This Row],[Date of Call]],"DDDD")</f>
        <v>Thursday</v>
      </c>
      <c r="K467" t="str" cm="1">
        <f t="array" ref="K46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7">
        <f>ROUND(calls[[#This Row],[Satisfaction Rating]],0)</f>
        <v>3</v>
      </c>
    </row>
    <row r="468" spans="2:12">
      <c r="B468" t="s">
        <v>490</v>
      </c>
      <c r="C468" t="s">
        <v>23</v>
      </c>
      <c r="D468">
        <v>25</v>
      </c>
      <c r="E468" s="17" t="s">
        <v>11</v>
      </c>
      <c r="F468" s="18">
        <v>45058</v>
      </c>
      <c r="G468">
        <v>27</v>
      </c>
      <c r="H468">
        <v>3.2</v>
      </c>
      <c r="I468">
        <f>IF(MONTH(calls[[#This Row],[Date of Call]])&lt;=6, YEAR(calls[[#This Row],[Date of Call]]), YEAR(calls[[#This Row],[Date of Call]])+1)</f>
        <v>2023</v>
      </c>
      <c r="J468" t="str">
        <f>TEXT(calls[[#This Row],[Date of Call]],"DDDD")</f>
        <v>Friday</v>
      </c>
      <c r="K468" t="str" cm="1">
        <f t="array" ref="K46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68">
        <f>ROUND(calls[[#This Row],[Satisfaction Rating]],0)</f>
        <v>3</v>
      </c>
    </row>
    <row r="469" spans="2:12">
      <c r="B469" t="s">
        <v>491</v>
      </c>
      <c r="C469" t="s">
        <v>14</v>
      </c>
      <c r="D469">
        <v>91</v>
      </c>
      <c r="E469" s="17" t="s">
        <v>13</v>
      </c>
      <c r="F469" s="18">
        <v>45058</v>
      </c>
      <c r="G469">
        <v>76</v>
      </c>
      <c r="H469">
        <v>4.9000000000000004</v>
      </c>
      <c r="I469">
        <f>IF(MONTH(calls[[#This Row],[Date of Call]])&lt;=6, YEAR(calls[[#This Row],[Date of Call]]), YEAR(calls[[#This Row],[Date of Call]])+1)</f>
        <v>2023</v>
      </c>
      <c r="J469" t="str">
        <f>TEXT(calls[[#This Row],[Date of Call]],"DDDD")</f>
        <v>Friday</v>
      </c>
      <c r="K469" t="str" cm="1">
        <f t="array" ref="K4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9">
        <f>ROUND(calls[[#This Row],[Satisfaction Rating]],0)</f>
        <v>5</v>
      </c>
    </row>
    <row r="470" spans="2:12">
      <c r="B470" t="s">
        <v>492</v>
      </c>
      <c r="C470" t="s">
        <v>8</v>
      </c>
      <c r="D470">
        <v>144</v>
      </c>
      <c r="E470" s="17" t="s">
        <v>6</v>
      </c>
      <c r="F470" s="18">
        <v>45058</v>
      </c>
      <c r="G470">
        <v>62</v>
      </c>
      <c r="H470">
        <v>4.8</v>
      </c>
      <c r="I470">
        <f>IF(MONTH(calls[[#This Row],[Date of Call]])&lt;=6, YEAR(calls[[#This Row],[Date of Call]]), YEAR(calls[[#This Row],[Date of Call]])+1)</f>
        <v>2023</v>
      </c>
      <c r="J470" t="str">
        <f>TEXT(calls[[#This Row],[Date of Call]],"DDDD")</f>
        <v>Friday</v>
      </c>
      <c r="K470" t="str" cm="1">
        <f t="array" ref="K47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0">
        <f>ROUND(calls[[#This Row],[Satisfaction Rating]],0)</f>
        <v>5</v>
      </c>
    </row>
    <row r="471" spans="2:12">
      <c r="B471" t="s">
        <v>493</v>
      </c>
      <c r="C471" t="s">
        <v>14</v>
      </c>
      <c r="D471">
        <v>81</v>
      </c>
      <c r="E471" s="17" t="s">
        <v>9</v>
      </c>
      <c r="F471" s="18">
        <v>45060</v>
      </c>
      <c r="G471">
        <v>100</v>
      </c>
      <c r="H471">
        <v>1.3</v>
      </c>
      <c r="I471">
        <f>IF(MONTH(calls[[#This Row],[Date of Call]])&lt;=6, YEAR(calls[[#This Row],[Date of Call]]), YEAR(calls[[#This Row],[Date of Call]])+1)</f>
        <v>2023</v>
      </c>
      <c r="J471" t="str">
        <f>TEXT(calls[[#This Row],[Date of Call]],"DDDD")</f>
        <v>Sunday</v>
      </c>
      <c r="K471" t="str" cm="1">
        <f t="array" ref="K4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1">
        <f>ROUND(calls[[#This Row],[Satisfaction Rating]],0)</f>
        <v>1</v>
      </c>
    </row>
    <row r="472" spans="2:12">
      <c r="B472" t="s">
        <v>494</v>
      </c>
      <c r="C472" t="s">
        <v>17</v>
      </c>
      <c r="D472">
        <v>92</v>
      </c>
      <c r="E472" s="17" t="s">
        <v>11</v>
      </c>
      <c r="F472" s="18">
        <v>45060</v>
      </c>
      <c r="G472">
        <v>44</v>
      </c>
      <c r="H472">
        <v>3.1</v>
      </c>
      <c r="I472">
        <f>IF(MONTH(calls[[#This Row],[Date of Call]])&lt;=6, YEAR(calls[[#This Row],[Date of Call]]), YEAR(calls[[#This Row],[Date of Call]])+1)</f>
        <v>2023</v>
      </c>
      <c r="J472" t="str">
        <f>TEXT(calls[[#This Row],[Date of Call]],"DDDD")</f>
        <v>Sunday</v>
      </c>
      <c r="K472" t="str" cm="1">
        <f t="array" ref="K4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2">
        <f>ROUND(calls[[#This Row],[Satisfaction Rating]],0)</f>
        <v>3</v>
      </c>
    </row>
    <row r="473" spans="2:12">
      <c r="B473" t="s">
        <v>495</v>
      </c>
      <c r="C473" t="s">
        <v>23</v>
      </c>
      <c r="D473">
        <v>115</v>
      </c>
      <c r="E473" s="17" t="s">
        <v>13</v>
      </c>
      <c r="F473" s="18">
        <v>45060</v>
      </c>
      <c r="G473">
        <v>168</v>
      </c>
      <c r="H473">
        <v>3.4</v>
      </c>
      <c r="I473">
        <f>IF(MONTH(calls[[#This Row],[Date of Call]])&lt;=6, YEAR(calls[[#This Row],[Date of Call]]), YEAR(calls[[#This Row],[Date of Call]])+1)</f>
        <v>2023</v>
      </c>
      <c r="J473" t="str">
        <f>TEXT(calls[[#This Row],[Date of Call]],"DDDD")</f>
        <v>Sunday</v>
      </c>
      <c r="K473" t="str" cm="1">
        <f t="array" ref="K4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3">
        <f>ROUND(calls[[#This Row],[Satisfaction Rating]],0)</f>
        <v>3</v>
      </c>
    </row>
    <row r="474" spans="2:12">
      <c r="B474" t="s">
        <v>496</v>
      </c>
      <c r="C474" t="s">
        <v>15</v>
      </c>
      <c r="D474">
        <v>56</v>
      </c>
      <c r="E474" s="17" t="s">
        <v>13</v>
      </c>
      <c r="F474" s="18">
        <v>45061</v>
      </c>
      <c r="G474">
        <v>200</v>
      </c>
      <c r="H474">
        <v>4.5999999999999996</v>
      </c>
      <c r="I474">
        <f>IF(MONTH(calls[[#This Row],[Date of Call]])&lt;=6, YEAR(calls[[#This Row],[Date of Call]]), YEAR(calls[[#This Row],[Date of Call]])+1)</f>
        <v>2023</v>
      </c>
      <c r="J474" t="str">
        <f>TEXT(calls[[#This Row],[Date of Call]],"DDDD")</f>
        <v>Monday</v>
      </c>
      <c r="K474" t="str" cm="1">
        <f t="array" ref="K47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74">
        <f>ROUND(calls[[#This Row],[Satisfaction Rating]],0)</f>
        <v>5</v>
      </c>
    </row>
    <row r="475" spans="2:12">
      <c r="B475" t="s">
        <v>497</v>
      </c>
      <c r="C475" t="s">
        <v>12</v>
      </c>
      <c r="D475">
        <v>154</v>
      </c>
      <c r="E475" s="17" t="s">
        <v>11</v>
      </c>
      <c r="F475" s="18">
        <v>45061</v>
      </c>
      <c r="G475">
        <v>84</v>
      </c>
      <c r="H475">
        <v>4.3</v>
      </c>
      <c r="I475">
        <f>IF(MONTH(calls[[#This Row],[Date of Call]])&lt;=6, YEAR(calls[[#This Row],[Date of Call]]), YEAR(calls[[#This Row],[Date of Call]])+1)</f>
        <v>2023</v>
      </c>
      <c r="J475" t="str">
        <f>TEXT(calls[[#This Row],[Date of Call]],"DDDD")</f>
        <v>Monday</v>
      </c>
      <c r="K475" t="str" cm="1">
        <f t="array" ref="K47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5">
        <f>ROUND(calls[[#This Row],[Satisfaction Rating]],0)</f>
        <v>4</v>
      </c>
    </row>
    <row r="476" spans="2:12">
      <c r="B476" t="s">
        <v>498</v>
      </c>
      <c r="C476" t="s">
        <v>5</v>
      </c>
      <c r="D476">
        <v>51</v>
      </c>
      <c r="E476" s="17" t="s">
        <v>13</v>
      </c>
      <c r="F476" s="18">
        <v>45062</v>
      </c>
      <c r="G476">
        <v>117</v>
      </c>
      <c r="H476">
        <v>2.7</v>
      </c>
      <c r="I476">
        <f>IF(MONTH(calls[[#This Row],[Date of Call]])&lt;=6, YEAR(calls[[#This Row],[Date of Call]]), YEAR(calls[[#This Row],[Date of Call]])+1)</f>
        <v>2023</v>
      </c>
      <c r="J476" t="str">
        <f>TEXT(calls[[#This Row],[Date of Call]],"DDDD")</f>
        <v>Tuesday</v>
      </c>
      <c r="K476" t="str" cm="1">
        <f t="array" ref="K47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76">
        <f>ROUND(calls[[#This Row],[Satisfaction Rating]],0)</f>
        <v>3</v>
      </c>
    </row>
    <row r="477" spans="2:12">
      <c r="B477" t="s">
        <v>499</v>
      </c>
      <c r="C477" t="s">
        <v>7</v>
      </c>
      <c r="D477">
        <v>21</v>
      </c>
      <c r="E477" s="17" t="s">
        <v>9</v>
      </c>
      <c r="F477" s="18">
        <v>45062</v>
      </c>
      <c r="G477">
        <v>63</v>
      </c>
      <c r="H477">
        <v>4.2</v>
      </c>
      <c r="I477">
        <f>IF(MONTH(calls[[#This Row],[Date of Call]])&lt;=6, YEAR(calls[[#This Row],[Date of Call]]), YEAR(calls[[#This Row],[Date of Call]])+1)</f>
        <v>2023</v>
      </c>
      <c r="J477" t="str">
        <f>TEXT(calls[[#This Row],[Date of Call]],"DDDD")</f>
        <v>Tuesday</v>
      </c>
      <c r="K477" t="str" cm="1">
        <f t="array" ref="K47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77">
        <f>ROUND(calls[[#This Row],[Satisfaction Rating]],0)</f>
        <v>4</v>
      </c>
    </row>
    <row r="478" spans="2:12">
      <c r="B478" t="s">
        <v>500</v>
      </c>
      <c r="C478" t="s">
        <v>23</v>
      </c>
      <c r="D478">
        <v>80</v>
      </c>
      <c r="E478" s="17" t="s">
        <v>13</v>
      </c>
      <c r="F478" s="18">
        <v>45063</v>
      </c>
      <c r="G478">
        <v>145</v>
      </c>
      <c r="H478">
        <v>4.9000000000000004</v>
      </c>
      <c r="I478">
        <f>IF(MONTH(calls[[#This Row],[Date of Call]])&lt;=6, YEAR(calls[[#This Row],[Date of Call]]), YEAR(calls[[#This Row],[Date of Call]])+1)</f>
        <v>2023</v>
      </c>
      <c r="J478" t="str">
        <f>TEXT(calls[[#This Row],[Date of Call]],"DDDD")</f>
        <v>Wednesday</v>
      </c>
      <c r="K478" t="str" cm="1">
        <f t="array" ref="K4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8">
        <f>ROUND(calls[[#This Row],[Satisfaction Rating]],0)</f>
        <v>5</v>
      </c>
    </row>
    <row r="479" spans="2:12">
      <c r="B479" t="s">
        <v>501</v>
      </c>
      <c r="C479" t="s">
        <v>5</v>
      </c>
      <c r="D479">
        <v>139</v>
      </c>
      <c r="E479" s="17" t="s">
        <v>11</v>
      </c>
      <c r="F479" s="18">
        <v>45063</v>
      </c>
      <c r="G479">
        <v>220</v>
      </c>
      <c r="H479">
        <v>3.2</v>
      </c>
      <c r="I479">
        <f>IF(MONTH(calls[[#This Row],[Date of Call]])&lt;=6, YEAR(calls[[#This Row],[Date of Call]]), YEAR(calls[[#This Row],[Date of Call]])+1)</f>
        <v>2023</v>
      </c>
      <c r="J479" t="str">
        <f>TEXT(calls[[#This Row],[Date of Call]],"DDDD")</f>
        <v>Wednesday</v>
      </c>
      <c r="K479" t="str" cm="1">
        <f t="array" ref="K4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9">
        <f>ROUND(calls[[#This Row],[Satisfaction Rating]],0)</f>
        <v>3</v>
      </c>
    </row>
    <row r="480" spans="2:12">
      <c r="B480" t="s">
        <v>502</v>
      </c>
      <c r="C480" t="s">
        <v>24</v>
      </c>
      <c r="D480">
        <v>50</v>
      </c>
      <c r="E480" s="17" t="s">
        <v>9</v>
      </c>
      <c r="F480" s="18">
        <v>45063</v>
      </c>
      <c r="G480">
        <v>26</v>
      </c>
      <c r="H480">
        <v>4.7</v>
      </c>
      <c r="I480">
        <f>IF(MONTH(calls[[#This Row],[Date of Call]])&lt;=6, YEAR(calls[[#This Row],[Date of Call]]), YEAR(calls[[#This Row],[Date of Call]])+1)</f>
        <v>2023</v>
      </c>
      <c r="J480" t="str">
        <f>TEXT(calls[[#This Row],[Date of Call]],"DDDD")</f>
        <v>Wednesday</v>
      </c>
      <c r="K480" t="str" cm="1">
        <f t="array" ref="K48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80">
        <f>ROUND(calls[[#This Row],[Satisfaction Rating]],0)</f>
        <v>5</v>
      </c>
    </row>
    <row r="481" spans="2:12">
      <c r="B481" t="s">
        <v>503</v>
      </c>
      <c r="C481" t="s">
        <v>23</v>
      </c>
      <c r="D481">
        <v>88</v>
      </c>
      <c r="E481" s="17" t="s">
        <v>13</v>
      </c>
      <c r="F481" s="18">
        <v>45063</v>
      </c>
      <c r="G481">
        <v>78</v>
      </c>
      <c r="H481">
        <v>4.3</v>
      </c>
      <c r="I481">
        <f>IF(MONTH(calls[[#This Row],[Date of Call]])&lt;=6, YEAR(calls[[#This Row],[Date of Call]]), YEAR(calls[[#This Row],[Date of Call]])+1)</f>
        <v>2023</v>
      </c>
      <c r="J481" t="str">
        <f>TEXT(calls[[#This Row],[Date of Call]],"DDDD")</f>
        <v>Wednesday</v>
      </c>
      <c r="K481" t="str" cm="1">
        <f t="array" ref="K4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1">
        <f>ROUND(calls[[#This Row],[Satisfaction Rating]],0)</f>
        <v>4</v>
      </c>
    </row>
    <row r="482" spans="2:12">
      <c r="B482" t="s">
        <v>504</v>
      </c>
      <c r="C482" t="s">
        <v>18</v>
      </c>
      <c r="D482">
        <v>19</v>
      </c>
      <c r="E482" s="17" t="s">
        <v>6</v>
      </c>
      <c r="F482" s="18">
        <v>45064</v>
      </c>
      <c r="G482">
        <v>132</v>
      </c>
      <c r="H482">
        <v>4.3</v>
      </c>
      <c r="I482">
        <f>IF(MONTH(calls[[#This Row],[Date of Call]])&lt;=6, YEAR(calls[[#This Row],[Date of Call]]), YEAR(calls[[#This Row],[Date of Call]])+1)</f>
        <v>2023</v>
      </c>
      <c r="J482" t="str">
        <f>TEXT(calls[[#This Row],[Date of Call]],"DDDD")</f>
        <v>Thursday</v>
      </c>
      <c r="K482" t="str" cm="1">
        <f t="array" ref="K48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82">
        <f>ROUND(calls[[#This Row],[Satisfaction Rating]],0)</f>
        <v>4</v>
      </c>
    </row>
    <row r="483" spans="2:12">
      <c r="B483" t="s">
        <v>505</v>
      </c>
      <c r="C483" t="s">
        <v>22</v>
      </c>
      <c r="D483">
        <v>104</v>
      </c>
      <c r="E483" s="17" t="s">
        <v>6</v>
      </c>
      <c r="F483" s="18">
        <v>45065</v>
      </c>
      <c r="G483">
        <v>68</v>
      </c>
      <c r="H483">
        <v>3.7</v>
      </c>
      <c r="I483">
        <f>IF(MONTH(calls[[#This Row],[Date of Call]])&lt;=6, YEAR(calls[[#This Row],[Date of Call]]), YEAR(calls[[#This Row],[Date of Call]])+1)</f>
        <v>2023</v>
      </c>
      <c r="J483" t="str">
        <f>TEXT(calls[[#This Row],[Date of Call]],"DDDD")</f>
        <v>Friday</v>
      </c>
      <c r="K483" t="str" cm="1">
        <f t="array" ref="K4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3">
        <f>ROUND(calls[[#This Row],[Satisfaction Rating]],0)</f>
        <v>4</v>
      </c>
    </row>
    <row r="484" spans="2:12">
      <c r="B484" t="s">
        <v>506</v>
      </c>
      <c r="C484" t="s">
        <v>12</v>
      </c>
      <c r="D484">
        <v>67</v>
      </c>
      <c r="E484" s="17" t="s">
        <v>11</v>
      </c>
      <c r="F484" s="18">
        <v>45067</v>
      </c>
      <c r="G484">
        <v>129</v>
      </c>
      <c r="H484">
        <v>4.7</v>
      </c>
      <c r="I484">
        <f>IF(MONTH(calls[[#This Row],[Date of Call]])&lt;=6, YEAR(calls[[#This Row],[Date of Call]]), YEAR(calls[[#This Row],[Date of Call]])+1)</f>
        <v>2023</v>
      </c>
      <c r="J484" t="str">
        <f>TEXT(calls[[#This Row],[Date of Call]],"DDDD")</f>
        <v>Sunday</v>
      </c>
      <c r="K484" t="str" cm="1">
        <f t="array" ref="K4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4">
        <f>ROUND(calls[[#This Row],[Satisfaction Rating]],0)</f>
        <v>5</v>
      </c>
    </row>
    <row r="485" spans="2:12">
      <c r="B485" t="s">
        <v>507</v>
      </c>
      <c r="C485" t="s">
        <v>16</v>
      </c>
      <c r="D485">
        <v>107</v>
      </c>
      <c r="E485" s="17" t="s">
        <v>6</v>
      </c>
      <c r="F485" s="18">
        <v>45067</v>
      </c>
      <c r="G485">
        <v>115</v>
      </c>
      <c r="H485">
        <v>4.9000000000000004</v>
      </c>
      <c r="I485">
        <f>IF(MONTH(calls[[#This Row],[Date of Call]])&lt;=6, YEAR(calls[[#This Row],[Date of Call]]), YEAR(calls[[#This Row],[Date of Call]])+1)</f>
        <v>2023</v>
      </c>
      <c r="J485" t="str">
        <f>TEXT(calls[[#This Row],[Date of Call]],"DDDD")</f>
        <v>Sunday</v>
      </c>
      <c r="K485" t="str" cm="1">
        <f t="array" ref="K4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5">
        <f>ROUND(calls[[#This Row],[Satisfaction Rating]],0)</f>
        <v>5</v>
      </c>
    </row>
    <row r="486" spans="2:12">
      <c r="B486" t="s">
        <v>508</v>
      </c>
      <c r="C486" t="s">
        <v>16</v>
      </c>
      <c r="D486">
        <v>93</v>
      </c>
      <c r="E486" s="17" t="s">
        <v>6</v>
      </c>
      <c r="F486" s="18">
        <v>45067</v>
      </c>
      <c r="G486">
        <v>128</v>
      </c>
      <c r="H486">
        <v>3.9</v>
      </c>
      <c r="I486">
        <f>IF(MONTH(calls[[#This Row],[Date of Call]])&lt;=6, YEAR(calls[[#This Row],[Date of Call]]), YEAR(calls[[#This Row],[Date of Call]])+1)</f>
        <v>2023</v>
      </c>
      <c r="J486" t="str">
        <f>TEXT(calls[[#This Row],[Date of Call]],"DDDD")</f>
        <v>Sunday</v>
      </c>
      <c r="K486" t="str" cm="1">
        <f t="array" ref="K4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6">
        <f>ROUND(calls[[#This Row],[Satisfaction Rating]],0)</f>
        <v>4</v>
      </c>
    </row>
    <row r="487" spans="2:12">
      <c r="B487" t="s">
        <v>509</v>
      </c>
      <c r="C487" t="s">
        <v>16</v>
      </c>
      <c r="D487">
        <v>117</v>
      </c>
      <c r="E487" s="17" t="s">
        <v>11</v>
      </c>
      <c r="F487" s="18">
        <v>45067</v>
      </c>
      <c r="G487">
        <v>90</v>
      </c>
      <c r="H487">
        <v>4.5</v>
      </c>
      <c r="I487">
        <f>IF(MONTH(calls[[#This Row],[Date of Call]])&lt;=6, YEAR(calls[[#This Row],[Date of Call]]), YEAR(calls[[#This Row],[Date of Call]])+1)</f>
        <v>2023</v>
      </c>
      <c r="J487" t="str">
        <f>TEXT(calls[[#This Row],[Date of Call]],"DDDD")</f>
        <v>Sunday</v>
      </c>
      <c r="K487" t="str" cm="1">
        <f t="array" ref="K4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7">
        <f>ROUND(calls[[#This Row],[Satisfaction Rating]],0)</f>
        <v>5</v>
      </c>
    </row>
    <row r="488" spans="2:12">
      <c r="B488" t="s">
        <v>510</v>
      </c>
      <c r="C488" t="s">
        <v>24</v>
      </c>
      <c r="D488">
        <v>76</v>
      </c>
      <c r="E488" s="17" t="s">
        <v>13</v>
      </c>
      <c r="F488" s="18">
        <v>45068</v>
      </c>
      <c r="G488">
        <v>39</v>
      </c>
      <c r="H488">
        <v>4.5999999999999996</v>
      </c>
      <c r="I488">
        <f>IF(MONTH(calls[[#This Row],[Date of Call]])&lt;=6, YEAR(calls[[#This Row],[Date of Call]]), YEAR(calls[[#This Row],[Date of Call]])+1)</f>
        <v>2023</v>
      </c>
      <c r="J488" t="str">
        <f>TEXT(calls[[#This Row],[Date of Call]],"DDDD")</f>
        <v>Monday</v>
      </c>
      <c r="K488" t="str" cm="1">
        <f t="array" ref="K4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8">
        <f>ROUND(calls[[#This Row],[Satisfaction Rating]],0)</f>
        <v>5</v>
      </c>
    </row>
    <row r="489" spans="2:12">
      <c r="B489" t="s">
        <v>511</v>
      </c>
      <c r="C489" t="s">
        <v>18</v>
      </c>
      <c r="D489">
        <v>64</v>
      </c>
      <c r="E489" s="17" t="s">
        <v>6</v>
      </c>
      <c r="F489" s="18">
        <v>45068</v>
      </c>
      <c r="G489">
        <v>132</v>
      </c>
      <c r="H489">
        <v>3.3</v>
      </c>
      <c r="I489">
        <f>IF(MONTH(calls[[#This Row],[Date of Call]])&lt;=6, YEAR(calls[[#This Row],[Date of Call]]), YEAR(calls[[#This Row],[Date of Call]])+1)</f>
        <v>2023</v>
      </c>
      <c r="J489" t="str">
        <f>TEXT(calls[[#This Row],[Date of Call]],"DDDD")</f>
        <v>Monday</v>
      </c>
      <c r="K489" t="str" cm="1">
        <f t="array" ref="K4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9">
        <f>ROUND(calls[[#This Row],[Satisfaction Rating]],0)</f>
        <v>3</v>
      </c>
    </row>
    <row r="490" spans="2:12">
      <c r="B490" t="s">
        <v>512</v>
      </c>
      <c r="C490" t="s">
        <v>8</v>
      </c>
      <c r="D490">
        <v>33</v>
      </c>
      <c r="E490" s="17" t="s">
        <v>6</v>
      </c>
      <c r="F490" s="18">
        <v>45068</v>
      </c>
      <c r="G490">
        <v>170</v>
      </c>
      <c r="H490">
        <v>3.8</v>
      </c>
      <c r="I490">
        <f>IF(MONTH(calls[[#This Row],[Date of Call]])&lt;=6, YEAR(calls[[#This Row],[Date of Call]]), YEAR(calls[[#This Row],[Date of Call]])+1)</f>
        <v>2023</v>
      </c>
      <c r="J490" t="str">
        <f>TEXT(calls[[#This Row],[Date of Call]],"DDDD")</f>
        <v>Monday</v>
      </c>
      <c r="K490" t="str" cm="1">
        <f t="array" ref="K4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90">
        <f>ROUND(calls[[#This Row],[Satisfaction Rating]],0)</f>
        <v>4</v>
      </c>
    </row>
    <row r="491" spans="2:12">
      <c r="B491" t="s">
        <v>513</v>
      </c>
      <c r="C491" t="s">
        <v>16</v>
      </c>
      <c r="D491">
        <v>115</v>
      </c>
      <c r="E491" s="17" t="s">
        <v>11</v>
      </c>
      <c r="F491" s="18">
        <v>45068</v>
      </c>
      <c r="G491">
        <v>42</v>
      </c>
      <c r="H491">
        <v>4.7</v>
      </c>
      <c r="I491">
        <f>IF(MONTH(calls[[#This Row],[Date of Call]])&lt;=6, YEAR(calls[[#This Row],[Date of Call]]), YEAR(calls[[#This Row],[Date of Call]])+1)</f>
        <v>2023</v>
      </c>
      <c r="J491" t="str">
        <f>TEXT(calls[[#This Row],[Date of Call]],"DDDD")</f>
        <v>Monday</v>
      </c>
      <c r="K491" t="str" cm="1">
        <f t="array" ref="K4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1">
        <f>ROUND(calls[[#This Row],[Satisfaction Rating]],0)</f>
        <v>5</v>
      </c>
    </row>
    <row r="492" spans="2:12">
      <c r="B492" t="s">
        <v>514</v>
      </c>
      <c r="C492" t="s">
        <v>21</v>
      </c>
      <c r="D492">
        <v>155</v>
      </c>
      <c r="E492" s="17" t="s">
        <v>13</v>
      </c>
      <c r="F492" s="18">
        <v>45069</v>
      </c>
      <c r="G492">
        <v>37</v>
      </c>
      <c r="H492">
        <v>4</v>
      </c>
      <c r="I492">
        <f>IF(MONTH(calls[[#This Row],[Date of Call]])&lt;=6, YEAR(calls[[#This Row],[Date of Call]]), YEAR(calls[[#This Row],[Date of Call]])+1)</f>
        <v>2023</v>
      </c>
      <c r="J492" t="str">
        <f>TEXT(calls[[#This Row],[Date of Call]],"DDDD")</f>
        <v>Tuesday</v>
      </c>
      <c r="K492" t="str" cm="1">
        <f t="array" ref="K49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2">
        <f>ROUND(calls[[#This Row],[Satisfaction Rating]],0)</f>
        <v>4</v>
      </c>
    </row>
    <row r="493" spans="2:12">
      <c r="B493" t="s">
        <v>515</v>
      </c>
      <c r="C493" t="s">
        <v>12</v>
      </c>
      <c r="D493">
        <v>117</v>
      </c>
      <c r="E493" s="17" t="s">
        <v>13</v>
      </c>
      <c r="F493" s="18">
        <v>45069</v>
      </c>
      <c r="G493">
        <v>88</v>
      </c>
      <c r="H493">
        <v>4.7</v>
      </c>
      <c r="I493">
        <f>IF(MONTH(calls[[#This Row],[Date of Call]])&lt;=6, YEAR(calls[[#This Row],[Date of Call]]), YEAR(calls[[#This Row],[Date of Call]])+1)</f>
        <v>2023</v>
      </c>
      <c r="J493" t="str">
        <f>TEXT(calls[[#This Row],[Date of Call]],"DDDD")</f>
        <v>Tuesday</v>
      </c>
      <c r="K493" t="str" cm="1">
        <f t="array" ref="K4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3">
        <f>ROUND(calls[[#This Row],[Satisfaction Rating]],0)</f>
        <v>5</v>
      </c>
    </row>
    <row r="494" spans="2:12">
      <c r="B494" t="s">
        <v>516</v>
      </c>
      <c r="C494" t="s">
        <v>5</v>
      </c>
      <c r="D494">
        <v>63</v>
      </c>
      <c r="E494" s="17" t="s">
        <v>13</v>
      </c>
      <c r="F494" s="18">
        <v>45069</v>
      </c>
      <c r="G494">
        <v>80</v>
      </c>
      <c r="H494">
        <v>2.5</v>
      </c>
      <c r="I494">
        <f>IF(MONTH(calls[[#This Row],[Date of Call]])&lt;=6, YEAR(calls[[#This Row],[Date of Call]]), YEAR(calls[[#This Row],[Date of Call]])+1)</f>
        <v>2023</v>
      </c>
      <c r="J494" t="str">
        <f>TEXT(calls[[#This Row],[Date of Call]],"DDDD")</f>
        <v>Tuesday</v>
      </c>
      <c r="K494" t="str" cm="1">
        <f t="array" ref="K49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4">
        <f>ROUND(calls[[#This Row],[Satisfaction Rating]],0)</f>
        <v>3</v>
      </c>
    </row>
    <row r="495" spans="2:12">
      <c r="B495" t="s">
        <v>517</v>
      </c>
      <c r="C495" t="s">
        <v>18</v>
      </c>
      <c r="D495">
        <v>59</v>
      </c>
      <c r="E495" s="17" t="s">
        <v>10</v>
      </c>
      <c r="F495" s="18">
        <v>45070</v>
      </c>
      <c r="G495">
        <v>123</v>
      </c>
      <c r="H495">
        <v>3.6</v>
      </c>
      <c r="I495">
        <f>IF(MONTH(calls[[#This Row],[Date of Call]])&lt;=6, YEAR(calls[[#This Row],[Date of Call]]), YEAR(calls[[#This Row],[Date of Call]])+1)</f>
        <v>2023</v>
      </c>
      <c r="J495" t="str">
        <f>TEXT(calls[[#This Row],[Date of Call]],"DDDD")</f>
        <v>Wednesday</v>
      </c>
      <c r="K495" t="str" cm="1">
        <f t="array" ref="K4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95">
        <f>ROUND(calls[[#This Row],[Satisfaction Rating]],0)</f>
        <v>4</v>
      </c>
    </row>
    <row r="496" spans="2:12">
      <c r="B496" t="s">
        <v>518</v>
      </c>
      <c r="C496" t="s">
        <v>7</v>
      </c>
      <c r="D496">
        <v>133</v>
      </c>
      <c r="E496" s="17" t="s">
        <v>6</v>
      </c>
      <c r="F496" s="18">
        <v>45070</v>
      </c>
      <c r="G496">
        <v>31</v>
      </c>
      <c r="H496">
        <v>3.7</v>
      </c>
      <c r="I496">
        <f>IF(MONTH(calls[[#This Row],[Date of Call]])&lt;=6, YEAR(calls[[#This Row],[Date of Call]]), YEAR(calls[[#This Row],[Date of Call]])+1)</f>
        <v>2023</v>
      </c>
      <c r="J496" t="str">
        <f>TEXT(calls[[#This Row],[Date of Call]],"DDDD")</f>
        <v>Wednesday</v>
      </c>
      <c r="K496" t="str" cm="1">
        <f t="array" ref="K49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6">
        <f>ROUND(calls[[#This Row],[Satisfaction Rating]],0)</f>
        <v>4</v>
      </c>
    </row>
    <row r="497" spans="2:12">
      <c r="B497" t="s">
        <v>519</v>
      </c>
      <c r="C497" t="s">
        <v>17</v>
      </c>
      <c r="D497">
        <v>101</v>
      </c>
      <c r="E497" s="17" t="s">
        <v>9</v>
      </c>
      <c r="F497" s="18">
        <v>45070</v>
      </c>
      <c r="G497">
        <v>205</v>
      </c>
      <c r="H497">
        <v>3.9</v>
      </c>
      <c r="I497">
        <f>IF(MONTH(calls[[#This Row],[Date of Call]])&lt;=6, YEAR(calls[[#This Row],[Date of Call]]), YEAR(calls[[#This Row],[Date of Call]])+1)</f>
        <v>2023</v>
      </c>
      <c r="J497" t="str">
        <f>TEXT(calls[[#This Row],[Date of Call]],"DDDD")</f>
        <v>Wednesday</v>
      </c>
      <c r="K497" t="str" cm="1">
        <f t="array" ref="K4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7">
        <f>ROUND(calls[[#This Row],[Satisfaction Rating]],0)</f>
        <v>4</v>
      </c>
    </row>
    <row r="498" spans="2:12">
      <c r="B498" t="s">
        <v>520</v>
      </c>
      <c r="C498" t="s">
        <v>14</v>
      </c>
      <c r="D498">
        <v>151</v>
      </c>
      <c r="E498" s="17" t="s">
        <v>13</v>
      </c>
      <c r="F498" s="18">
        <v>45071</v>
      </c>
      <c r="G498">
        <v>123</v>
      </c>
      <c r="H498">
        <v>3.7</v>
      </c>
      <c r="I498">
        <f>IF(MONTH(calls[[#This Row],[Date of Call]])&lt;=6, YEAR(calls[[#This Row],[Date of Call]]), YEAR(calls[[#This Row],[Date of Call]])+1)</f>
        <v>2023</v>
      </c>
      <c r="J498" t="str">
        <f>TEXT(calls[[#This Row],[Date of Call]],"DDDD")</f>
        <v>Thursday</v>
      </c>
      <c r="K498" t="str" cm="1">
        <f t="array" ref="K49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8">
        <f>ROUND(calls[[#This Row],[Satisfaction Rating]],0)</f>
        <v>4</v>
      </c>
    </row>
    <row r="499" spans="2:12">
      <c r="B499" t="s">
        <v>521</v>
      </c>
      <c r="C499" t="s">
        <v>8</v>
      </c>
      <c r="D499">
        <v>146</v>
      </c>
      <c r="E499" s="17" t="s">
        <v>6</v>
      </c>
      <c r="F499" s="18">
        <v>45071</v>
      </c>
      <c r="G499">
        <v>123</v>
      </c>
      <c r="H499">
        <v>4.3</v>
      </c>
      <c r="I499">
        <f>IF(MONTH(calls[[#This Row],[Date of Call]])&lt;=6, YEAR(calls[[#This Row],[Date of Call]]), YEAR(calls[[#This Row],[Date of Call]])+1)</f>
        <v>2023</v>
      </c>
      <c r="J499" t="str">
        <f>TEXT(calls[[#This Row],[Date of Call]],"DDDD")</f>
        <v>Thursday</v>
      </c>
      <c r="K499" t="str" cm="1">
        <f t="array" ref="K49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9">
        <f>ROUND(calls[[#This Row],[Satisfaction Rating]],0)</f>
        <v>4</v>
      </c>
    </row>
    <row r="500" spans="2:12">
      <c r="B500" t="s">
        <v>522</v>
      </c>
      <c r="C500" t="s">
        <v>5</v>
      </c>
      <c r="D500">
        <v>148</v>
      </c>
      <c r="E500" s="17" t="s">
        <v>6</v>
      </c>
      <c r="F500" s="18">
        <v>45071</v>
      </c>
      <c r="G500">
        <v>36</v>
      </c>
      <c r="H500">
        <v>2.9</v>
      </c>
      <c r="I500">
        <f>IF(MONTH(calls[[#This Row],[Date of Call]])&lt;=6, YEAR(calls[[#This Row],[Date of Call]]), YEAR(calls[[#This Row],[Date of Call]])+1)</f>
        <v>2023</v>
      </c>
      <c r="J500" t="str">
        <f>TEXT(calls[[#This Row],[Date of Call]],"DDDD")</f>
        <v>Thursday</v>
      </c>
      <c r="K500" t="str" cm="1">
        <f t="array" ref="K50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00">
        <f>ROUND(calls[[#This Row],[Satisfaction Rating]],0)</f>
        <v>3</v>
      </c>
    </row>
    <row r="501" spans="2:12">
      <c r="B501" t="s">
        <v>523</v>
      </c>
      <c r="C501" t="s">
        <v>14</v>
      </c>
      <c r="D501">
        <v>81</v>
      </c>
      <c r="E501" s="17" t="s">
        <v>6</v>
      </c>
      <c r="F501" s="18">
        <v>45071</v>
      </c>
      <c r="G501">
        <v>116</v>
      </c>
      <c r="H501">
        <v>4.3</v>
      </c>
      <c r="I501">
        <f>IF(MONTH(calls[[#This Row],[Date of Call]])&lt;=6, YEAR(calls[[#This Row],[Date of Call]]), YEAR(calls[[#This Row],[Date of Call]])+1)</f>
        <v>2023</v>
      </c>
      <c r="J501" t="str">
        <f>TEXT(calls[[#This Row],[Date of Call]],"DDDD")</f>
        <v>Thursday</v>
      </c>
      <c r="K501" t="str" cm="1">
        <f t="array" ref="K5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1">
        <f>ROUND(calls[[#This Row],[Satisfaction Rating]],0)</f>
        <v>4</v>
      </c>
    </row>
    <row r="502" spans="2:12">
      <c r="B502" t="s">
        <v>524</v>
      </c>
      <c r="C502" t="s">
        <v>22</v>
      </c>
      <c r="D502">
        <v>115</v>
      </c>
      <c r="E502" s="17" t="s">
        <v>6</v>
      </c>
      <c r="F502" s="18">
        <v>45071</v>
      </c>
      <c r="G502">
        <v>40</v>
      </c>
      <c r="H502">
        <v>4.9000000000000004</v>
      </c>
      <c r="I502">
        <f>IF(MONTH(calls[[#This Row],[Date of Call]])&lt;=6, YEAR(calls[[#This Row],[Date of Call]]), YEAR(calls[[#This Row],[Date of Call]])+1)</f>
        <v>2023</v>
      </c>
      <c r="J502" t="str">
        <f>TEXT(calls[[#This Row],[Date of Call]],"DDDD")</f>
        <v>Thursday</v>
      </c>
      <c r="K502" t="str" cm="1">
        <f t="array" ref="K5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2">
        <f>ROUND(calls[[#This Row],[Satisfaction Rating]],0)</f>
        <v>5</v>
      </c>
    </row>
    <row r="503" spans="2:12">
      <c r="B503" t="s">
        <v>525</v>
      </c>
      <c r="C503" t="s">
        <v>22</v>
      </c>
      <c r="D503">
        <v>117</v>
      </c>
      <c r="E503" s="17" t="s">
        <v>13</v>
      </c>
      <c r="F503" s="18">
        <v>45071</v>
      </c>
      <c r="G503">
        <v>40</v>
      </c>
      <c r="H503">
        <v>4</v>
      </c>
      <c r="I503">
        <f>IF(MONTH(calls[[#This Row],[Date of Call]])&lt;=6, YEAR(calls[[#This Row],[Date of Call]]), YEAR(calls[[#This Row],[Date of Call]])+1)</f>
        <v>2023</v>
      </c>
      <c r="J503" t="str">
        <f>TEXT(calls[[#This Row],[Date of Call]],"DDDD")</f>
        <v>Thursday</v>
      </c>
      <c r="K503" t="str" cm="1">
        <f t="array" ref="K5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3">
        <f>ROUND(calls[[#This Row],[Satisfaction Rating]],0)</f>
        <v>4</v>
      </c>
    </row>
    <row r="504" spans="2:12">
      <c r="B504" t="s">
        <v>526</v>
      </c>
      <c r="C504" t="s">
        <v>17</v>
      </c>
      <c r="D504">
        <v>110</v>
      </c>
      <c r="E504" s="17" t="s">
        <v>11</v>
      </c>
      <c r="F504" s="18">
        <v>45072</v>
      </c>
      <c r="G504">
        <v>82</v>
      </c>
      <c r="H504">
        <v>4</v>
      </c>
      <c r="I504">
        <f>IF(MONTH(calls[[#This Row],[Date of Call]])&lt;=6, YEAR(calls[[#This Row],[Date of Call]]), YEAR(calls[[#This Row],[Date of Call]])+1)</f>
        <v>2023</v>
      </c>
      <c r="J504" t="str">
        <f>TEXT(calls[[#This Row],[Date of Call]],"DDDD")</f>
        <v>Friday</v>
      </c>
      <c r="K504" t="str" cm="1">
        <f t="array" ref="K5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4">
        <f>ROUND(calls[[#This Row],[Satisfaction Rating]],0)</f>
        <v>4</v>
      </c>
    </row>
    <row r="505" spans="2:12">
      <c r="B505" t="s">
        <v>527</v>
      </c>
      <c r="C505" t="s">
        <v>24</v>
      </c>
      <c r="D505">
        <v>103</v>
      </c>
      <c r="E505" s="17" t="s">
        <v>10</v>
      </c>
      <c r="F505" s="18">
        <v>45072</v>
      </c>
      <c r="G505">
        <v>62</v>
      </c>
      <c r="H505">
        <v>3.4</v>
      </c>
      <c r="I505">
        <f>IF(MONTH(calls[[#This Row],[Date of Call]])&lt;=6, YEAR(calls[[#This Row],[Date of Call]]), YEAR(calls[[#This Row],[Date of Call]])+1)</f>
        <v>2023</v>
      </c>
      <c r="J505" t="str">
        <f>TEXT(calls[[#This Row],[Date of Call]],"DDDD")</f>
        <v>Friday</v>
      </c>
      <c r="K505" t="str" cm="1">
        <f t="array" ref="K50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5">
        <f>ROUND(calls[[#This Row],[Satisfaction Rating]],0)</f>
        <v>3</v>
      </c>
    </row>
    <row r="506" spans="2:12">
      <c r="B506" t="s">
        <v>528</v>
      </c>
      <c r="C506" t="s">
        <v>21</v>
      </c>
      <c r="D506">
        <v>45</v>
      </c>
      <c r="E506" s="17" t="s">
        <v>10</v>
      </c>
      <c r="F506" s="18">
        <v>45072</v>
      </c>
      <c r="G506">
        <v>135</v>
      </c>
      <c r="H506">
        <v>3.9</v>
      </c>
      <c r="I506">
        <f>IF(MONTH(calls[[#This Row],[Date of Call]])&lt;=6, YEAR(calls[[#This Row],[Date of Call]]), YEAR(calls[[#This Row],[Date of Call]])+1)</f>
        <v>2023</v>
      </c>
      <c r="J506" t="str">
        <f>TEXT(calls[[#This Row],[Date of Call]],"DDDD")</f>
        <v>Friday</v>
      </c>
      <c r="K506" t="str" cm="1">
        <f t="array" ref="K50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06">
        <f>ROUND(calls[[#This Row],[Satisfaction Rating]],0)</f>
        <v>4</v>
      </c>
    </row>
    <row r="507" spans="2:12">
      <c r="B507" t="s">
        <v>529</v>
      </c>
      <c r="C507" t="s">
        <v>17</v>
      </c>
      <c r="D507">
        <v>110</v>
      </c>
      <c r="E507" s="17" t="s">
        <v>9</v>
      </c>
      <c r="F507" s="18">
        <v>45072</v>
      </c>
      <c r="G507">
        <v>155</v>
      </c>
      <c r="H507">
        <v>2.1</v>
      </c>
      <c r="I507">
        <f>IF(MONTH(calls[[#This Row],[Date of Call]])&lt;=6, YEAR(calls[[#This Row],[Date of Call]]), YEAR(calls[[#This Row],[Date of Call]])+1)</f>
        <v>2023</v>
      </c>
      <c r="J507" t="str">
        <f>TEXT(calls[[#This Row],[Date of Call]],"DDDD")</f>
        <v>Friday</v>
      </c>
      <c r="K507" t="str" cm="1">
        <f t="array" ref="K5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7">
        <f>ROUND(calls[[#This Row],[Satisfaction Rating]],0)</f>
        <v>2</v>
      </c>
    </row>
    <row r="508" spans="2:12">
      <c r="B508" t="s">
        <v>530</v>
      </c>
      <c r="C508" t="s">
        <v>18</v>
      </c>
      <c r="D508">
        <v>43</v>
      </c>
      <c r="E508" s="17" t="s">
        <v>11</v>
      </c>
      <c r="F508" s="18">
        <v>45072</v>
      </c>
      <c r="G508">
        <v>37</v>
      </c>
      <c r="H508">
        <v>4.9000000000000004</v>
      </c>
      <c r="I508">
        <f>IF(MONTH(calls[[#This Row],[Date of Call]])&lt;=6, YEAR(calls[[#This Row],[Date of Call]]), YEAR(calls[[#This Row],[Date of Call]])+1)</f>
        <v>2023</v>
      </c>
      <c r="J508" t="str">
        <f>TEXT(calls[[#This Row],[Date of Call]],"DDDD")</f>
        <v>Friday</v>
      </c>
      <c r="K508" t="str" cm="1">
        <f t="array" ref="K50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08">
        <f>ROUND(calls[[#This Row],[Satisfaction Rating]],0)</f>
        <v>5</v>
      </c>
    </row>
    <row r="509" spans="2:12">
      <c r="B509" t="s">
        <v>531</v>
      </c>
      <c r="C509" t="s">
        <v>17</v>
      </c>
      <c r="D509">
        <v>104</v>
      </c>
      <c r="E509" s="17" t="s">
        <v>13</v>
      </c>
      <c r="F509" s="18">
        <v>45073</v>
      </c>
      <c r="G509">
        <v>56</v>
      </c>
      <c r="H509">
        <v>3.4</v>
      </c>
      <c r="I509">
        <f>IF(MONTH(calls[[#This Row],[Date of Call]])&lt;=6, YEAR(calls[[#This Row],[Date of Call]]), YEAR(calls[[#This Row],[Date of Call]])+1)</f>
        <v>2023</v>
      </c>
      <c r="J509" t="str">
        <f>TEXT(calls[[#This Row],[Date of Call]],"DDDD")</f>
        <v>Saturday</v>
      </c>
      <c r="K509" t="str" cm="1">
        <f t="array" ref="K5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9">
        <f>ROUND(calls[[#This Row],[Satisfaction Rating]],0)</f>
        <v>3</v>
      </c>
    </row>
    <row r="510" spans="2:12">
      <c r="B510" t="s">
        <v>532</v>
      </c>
      <c r="C510" t="s">
        <v>17</v>
      </c>
      <c r="D510">
        <v>101</v>
      </c>
      <c r="E510" s="17" t="s">
        <v>13</v>
      </c>
      <c r="F510" s="18">
        <v>45073</v>
      </c>
      <c r="G510">
        <v>185</v>
      </c>
      <c r="H510">
        <v>5</v>
      </c>
      <c r="I510">
        <f>IF(MONTH(calls[[#This Row],[Date of Call]])&lt;=6, YEAR(calls[[#This Row],[Date of Call]]), YEAR(calls[[#This Row],[Date of Call]])+1)</f>
        <v>2023</v>
      </c>
      <c r="J510" t="str">
        <f>TEXT(calls[[#This Row],[Date of Call]],"DDDD")</f>
        <v>Saturday</v>
      </c>
      <c r="K510" t="str" cm="1">
        <f t="array" ref="K5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0">
        <f>ROUND(calls[[#This Row],[Satisfaction Rating]],0)</f>
        <v>5</v>
      </c>
    </row>
    <row r="511" spans="2:12">
      <c r="B511" t="s">
        <v>533</v>
      </c>
      <c r="C511" t="s">
        <v>20</v>
      </c>
      <c r="D511">
        <v>55</v>
      </c>
      <c r="E511" s="17" t="s">
        <v>11</v>
      </c>
      <c r="F511" s="18">
        <v>45074</v>
      </c>
      <c r="G511">
        <v>145</v>
      </c>
      <c r="H511">
        <v>4.5</v>
      </c>
      <c r="I511">
        <f>IF(MONTH(calls[[#This Row],[Date of Call]])&lt;=6, YEAR(calls[[#This Row],[Date of Call]]), YEAR(calls[[#This Row],[Date of Call]])+1)</f>
        <v>2023</v>
      </c>
      <c r="J511" t="str">
        <f>TEXT(calls[[#This Row],[Date of Call]],"DDDD")</f>
        <v>Sunday</v>
      </c>
      <c r="K511" t="str" cm="1">
        <f t="array" ref="K51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11">
        <f>ROUND(calls[[#This Row],[Satisfaction Rating]],0)</f>
        <v>5</v>
      </c>
    </row>
    <row r="512" spans="2:12">
      <c r="B512" t="s">
        <v>534</v>
      </c>
      <c r="C512" t="s">
        <v>14</v>
      </c>
      <c r="D512">
        <v>40</v>
      </c>
      <c r="E512" s="17" t="s">
        <v>10</v>
      </c>
      <c r="F512" s="18">
        <v>45074</v>
      </c>
      <c r="G512">
        <v>116</v>
      </c>
      <c r="H512">
        <v>2.6</v>
      </c>
      <c r="I512">
        <f>IF(MONTH(calls[[#This Row],[Date of Call]])&lt;=6, YEAR(calls[[#This Row],[Date of Call]]), YEAR(calls[[#This Row],[Date of Call]])+1)</f>
        <v>2023</v>
      </c>
      <c r="J512" t="str">
        <f>TEXT(calls[[#This Row],[Date of Call]],"DDDD")</f>
        <v>Sunday</v>
      </c>
      <c r="K512" t="str" cm="1">
        <f t="array" ref="K51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12">
        <f>ROUND(calls[[#This Row],[Satisfaction Rating]],0)</f>
        <v>3</v>
      </c>
    </row>
    <row r="513" spans="2:12">
      <c r="B513" t="s">
        <v>535</v>
      </c>
      <c r="C513" t="s">
        <v>18</v>
      </c>
      <c r="D513">
        <v>122</v>
      </c>
      <c r="E513" s="17" t="s">
        <v>6</v>
      </c>
      <c r="F513" s="18">
        <v>45074</v>
      </c>
      <c r="G513">
        <v>45</v>
      </c>
      <c r="H513">
        <v>4.2</v>
      </c>
      <c r="I513">
        <f>IF(MONTH(calls[[#This Row],[Date of Call]])&lt;=6, YEAR(calls[[#This Row],[Date of Call]]), YEAR(calls[[#This Row],[Date of Call]])+1)</f>
        <v>2023</v>
      </c>
      <c r="J513" t="str">
        <f>TEXT(calls[[#This Row],[Date of Call]],"DDDD")</f>
        <v>Sunday</v>
      </c>
      <c r="K513" t="str" cm="1">
        <f t="array" ref="K51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13">
        <f>ROUND(calls[[#This Row],[Satisfaction Rating]],0)</f>
        <v>4</v>
      </c>
    </row>
    <row r="514" spans="2:12">
      <c r="B514" t="s">
        <v>536</v>
      </c>
      <c r="C514" t="s">
        <v>8</v>
      </c>
      <c r="D514">
        <v>98</v>
      </c>
      <c r="E514" s="17" t="s">
        <v>13</v>
      </c>
      <c r="F514" s="18">
        <v>45075</v>
      </c>
      <c r="G514">
        <v>35</v>
      </c>
      <c r="H514">
        <v>4.5</v>
      </c>
      <c r="I514">
        <f>IF(MONTH(calls[[#This Row],[Date of Call]])&lt;=6, YEAR(calls[[#This Row],[Date of Call]]), YEAR(calls[[#This Row],[Date of Call]])+1)</f>
        <v>2023</v>
      </c>
      <c r="J514" t="str">
        <f>TEXT(calls[[#This Row],[Date of Call]],"DDDD")</f>
        <v>Monday</v>
      </c>
      <c r="K514" t="str" cm="1">
        <f t="array" ref="K5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4">
        <f>ROUND(calls[[#This Row],[Satisfaction Rating]],0)</f>
        <v>5</v>
      </c>
    </row>
    <row r="515" spans="2:12">
      <c r="B515" t="s">
        <v>537</v>
      </c>
      <c r="C515" t="s">
        <v>22</v>
      </c>
      <c r="D515">
        <v>110</v>
      </c>
      <c r="E515" s="17" t="s">
        <v>10</v>
      </c>
      <c r="F515" s="18">
        <v>45075</v>
      </c>
      <c r="G515">
        <v>100</v>
      </c>
      <c r="H515">
        <v>4.4000000000000004</v>
      </c>
      <c r="I515">
        <f>IF(MONTH(calls[[#This Row],[Date of Call]])&lt;=6, YEAR(calls[[#This Row],[Date of Call]]), YEAR(calls[[#This Row],[Date of Call]])+1)</f>
        <v>2023</v>
      </c>
      <c r="J515" t="str">
        <f>TEXT(calls[[#This Row],[Date of Call]],"DDDD")</f>
        <v>Monday</v>
      </c>
      <c r="K515" t="str" cm="1">
        <f t="array" ref="K5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5">
        <f>ROUND(calls[[#This Row],[Satisfaction Rating]],0)</f>
        <v>4</v>
      </c>
    </row>
    <row r="516" spans="2:12">
      <c r="B516" t="s">
        <v>538</v>
      </c>
      <c r="C516" t="s">
        <v>22</v>
      </c>
      <c r="D516">
        <v>62</v>
      </c>
      <c r="E516" s="17" t="s">
        <v>11</v>
      </c>
      <c r="F516" s="18">
        <v>45076</v>
      </c>
      <c r="G516">
        <v>125</v>
      </c>
      <c r="H516">
        <v>3.5</v>
      </c>
      <c r="I516">
        <f>IF(MONTH(calls[[#This Row],[Date of Call]])&lt;=6, YEAR(calls[[#This Row],[Date of Call]]), YEAR(calls[[#This Row],[Date of Call]])+1)</f>
        <v>2023</v>
      </c>
      <c r="J516" t="str">
        <f>TEXT(calls[[#This Row],[Date of Call]],"DDDD")</f>
        <v>Tuesday</v>
      </c>
      <c r="K516" t="str" cm="1">
        <f t="array" ref="K5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6">
        <f>ROUND(calls[[#This Row],[Satisfaction Rating]],0)</f>
        <v>4</v>
      </c>
    </row>
    <row r="517" spans="2:12">
      <c r="B517" t="s">
        <v>539</v>
      </c>
      <c r="C517" t="s">
        <v>18</v>
      </c>
      <c r="D517">
        <v>134</v>
      </c>
      <c r="E517" s="17" t="s">
        <v>6</v>
      </c>
      <c r="F517" s="18">
        <v>45076</v>
      </c>
      <c r="G517">
        <v>120</v>
      </c>
      <c r="H517">
        <v>3</v>
      </c>
      <c r="I517">
        <f>IF(MONTH(calls[[#This Row],[Date of Call]])&lt;=6, YEAR(calls[[#This Row],[Date of Call]]), YEAR(calls[[#This Row],[Date of Call]])+1)</f>
        <v>2023</v>
      </c>
      <c r="J517" t="str">
        <f>TEXT(calls[[#This Row],[Date of Call]],"DDDD")</f>
        <v>Tuesday</v>
      </c>
      <c r="K517" t="str" cm="1">
        <f t="array" ref="K5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17">
        <f>ROUND(calls[[#This Row],[Satisfaction Rating]],0)</f>
        <v>3</v>
      </c>
    </row>
    <row r="518" spans="2:12">
      <c r="B518" t="s">
        <v>540</v>
      </c>
      <c r="C518" t="s">
        <v>19</v>
      </c>
      <c r="D518">
        <v>94</v>
      </c>
      <c r="E518" s="17" t="s">
        <v>9</v>
      </c>
      <c r="F518" s="18">
        <v>45076</v>
      </c>
      <c r="G518">
        <v>180</v>
      </c>
      <c r="H518">
        <v>4.7</v>
      </c>
      <c r="I518">
        <f>IF(MONTH(calls[[#This Row],[Date of Call]])&lt;=6, YEAR(calls[[#This Row],[Date of Call]]), YEAR(calls[[#This Row],[Date of Call]])+1)</f>
        <v>2023</v>
      </c>
      <c r="J518" t="str">
        <f>TEXT(calls[[#This Row],[Date of Call]],"DDDD")</f>
        <v>Tuesday</v>
      </c>
      <c r="K518" t="str" cm="1">
        <f t="array" ref="K51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8">
        <f>ROUND(calls[[#This Row],[Satisfaction Rating]],0)</f>
        <v>5</v>
      </c>
    </row>
    <row r="519" spans="2:12">
      <c r="B519" t="s">
        <v>541</v>
      </c>
      <c r="C519" t="s">
        <v>15</v>
      </c>
      <c r="D519">
        <v>63</v>
      </c>
      <c r="E519" s="17" t="s">
        <v>10</v>
      </c>
      <c r="F519" s="18">
        <v>45076</v>
      </c>
      <c r="G519">
        <v>44</v>
      </c>
      <c r="H519">
        <v>3</v>
      </c>
      <c r="I519">
        <f>IF(MONTH(calls[[#This Row],[Date of Call]])&lt;=6, YEAR(calls[[#This Row],[Date of Call]]), YEAR(calls[[#This Row],[Date of Call]])+1)</f>
        <v>2023</v>
      </c>
      <c r="J519" t="str">
        <f>TEXT(calls[[#This Row],[Date of Call]],"DDDD")</f>
        <v>Tuesday</v>
      </c>
      <c r="K519" t="str" cm="1">
        <f t="array" ref="K5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9">
        <f>ROUND(calls[[#This Row],[Satisfaction Rating]],0)</f>
        <v>3</v>
      </c>
    </row>
    <row r="520" spans="2:12">
      <c r="B520" t="s">
        <v>542</v>
      </c>
      <c r="C520" t="s">
        <v>7</v>
      </c>
      <c r="D520">
        <v>95</v>
      </c>
      <c r="E520" s="17" t="s">
        <v>6</v>
      </c>
      <c r="F520" s="18">
        <v>45076</v>
      </c>
      <c r="G520">
        <v>86</v>
      </c>
      <c r="H520">
        <v>3.6</v>
      </c>
      <c r="I520">
        <f>IF(MONTH(calls[[#This Row],[Date of Call]])&lt;=6, YEAR(calls[[#This Row],[Date of Call]]), YEAR(calls[[#This Row],[Date of Call]])+1)</f>
        <v>2023</v>
      </c>
      <c r="J520" t="str">
        <f>TEXT(calls[[#This Row],[Date of Call]],"DDDD")</f>
        <v>Tuesday</v>
      </c>
      <c r="K520" t="str" cm="1">
        <f t="array" ref="K5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0">
        <f>ROUND(calls[[#This Row],[Satisfaction Rating]],0)</f>
        <v>4</v>
      </c>
    </row>
    <row r="521" spans="2:12">
      <c r="B521" t="s">
        <v>543</v>
      </c>
      <c r="C521" t="s">
        <v>18</v>
      </c>
      <c r="D521">
        <v>106</v>
      </c>
      <c r="E521" s="17" t="s">
        <v>6</v>
      </c>
      <c r="F521" s="18">
        <v>45077</v>
      </c>
      <c r="G521">
        <v>120</v>
      </c>
      <c r="H521">
        <v>4.0999999999999996</v>
      </c>
      <c r="I521">
        <f>IF(MONTH(calls[[#This Row],[Date of Call]])&lt;=6, YEAR(calls[[#This Row],[Date of Call]]), YEAR(calls[[#This Row],[Date of Call]])+1)</f>
        <v>2023</v>
      </c>
      <c r="J521" t="str">
        <f>TEXT(calls[[#This Row],[Date of Call]],"DDDD")</f>
        <v>Wednesday</v>
      </c>
      <c r="K521" t="str" cm="1">
        <f t="array" ref="K5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1">
        <f>ROUND(calls[[#This Row],[Satisfaction Rating]],0)</f>
        <v>4</v>
      </c>
    </row>
    <row r="522" spans="2:12">
      <c r="B522" t="s">
        <v>544</v>
      </c>
      <c r="C522" t="s">
        <v>21</v>
      </c>
      <c r="D522">
        <v>94</v>
      </c>
      <c r="E522" s="17" t="s">
        <v>9</v>
      </c>
      <c r="F522" s="18">
        <v>45077</v>
      </c>
      <c r="G522">
        <v>100</v>
      </c>
      <c r="H522">
        <v>3.7</v>
      </c>
      <c r="I522">
        <f>IF(MONTH(calls[[#This Row],[Date of Call]])&lt;=6, YEAR(calls[[#This Row],[Date of Call]]), YEAR(calls[[#This Row],[Date of Call]])+1)</f>
        <v>2023</v>
      </c>
      <c r="J522" t="str">
        <f>TEXT(calls[[#This Row],[Date of Call]],"DDDD")</f>
        <v>Wednesday</v>
      </c>
      <c r="K522" t="str" cm="1">
        <f t="array" ref="K5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2">
        <f>ROUND(calls[[#This Row],[Satisfaction Rating]],0)</f>
        <v>4</v>
      </c>
    </row>
    <row r="523" spans="2:12">
      <c r="B523" t="s">
        <v>545</v>
      </c>
      <c r="C523" t="s">
        <v>21</v>
      </c>
      <c r="D523">
        <v>51</v>
      </c>
      <c r="E523" s="17" t="s">
        <v>9</v>
      </c>
      <c r="F523" s="18">
        <v>45078</v>
      </c>
      <c r="G523">
        <v>108</v>
      </c>
      <c r="H523">
        <v>4.5</v>
      </c>
      <c r="I523">
        <f>IF(MONTH(calls[[#This Row],[Date of Call]])&lt;=6, YEAR(calls[[#This Row],[Date of Call]]), YEAR(calls[[#This Row],[Date of Call]])+1)</f>
        <v>2023</v>
      </c>
      <c r="J523" t="str">
        <f>TEXT(calls[[#This Row],[Date of Call]],"DDDD")</f>
        <v>Thursday</v>
      </c>
      <c r="K523" t="str" cm="1">
        <f t="array" ref="K52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23">
        <f>ROUND(calls[[#This Row],[Satisfaction Rating]],0)</f>
        <v>5</v>
      </c>
    </row>
    <row r="524" spans="2:12">
      <c r="B524" t="s">
        <v>546</v>
      </c>
      <c r="C524" t="s">
        <v>5</v>
      </c>
      <c r="D524">
        <v>39</v>
      </c>
      <c r="E524" s="17" t="s">
        <v>9</v>
      </c>
      <c r="F524" s="18">
        <v>45078</v>
      </c>
      <c r="G524">
        <v>46</v>
      </c>
      <c r="H524">
        <v>4.5999999999999996</v>
      </c>
      <c r="I524">
        <f>IF(MONTH(calls[[#This Row],[Date of Call]])&lt;=6, YEAR(calls[[#This Row],[Date of Call]]), YEAR(calls[[#This Row],[Date of Call]])+1)</f>
        <v>2023</v>
      </c>
      <c r="J524" t="str">
        <f>TEXT(calls[[#This Row],[Date of Call]],"DDDD")</f>
        <v>Thursday</v>
      </c>
      <c r="K524" t="str" cm="1">
        <f t="array" ref="K52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24">
        <f>ROUND(calls[[#This Row],[Satisfaction Rating]],0)</f>
        <v>5</v>
      </c>
    </row>
    <row r="525" spans="2:12">
      <c r="B525" t="s">
        <v>547</v>
      </c>
      <c r="C525" t="s">
        <v>14</v>
      </c>
      <c r="D525">
        <v>111</v>
      </c>
      <c r="E525" s="17" t="s">
        <v>6</v>
      </c>
      <c r="F525" s="18">
        <v>45078</v>
      </c>
      <c r="G525">
        <v>210</v>
      </c>
      <c r="H525">
        <v>4.3</v>
      </c>
      <c r="I525">
        <f>IF(MONTH(calls[[#This Row],[Date of Call]])&lt;=6, YEAR(calls[[#This Row],[Date of Call]]), YEAR(calls[[#This Row],[Date of Call]])+1)</f>
        <v>2023</v>
      </c>
      <c r="J525" t="str">
        <f>TEXT(calls[[#This Row],[Date of Call]],"DDDD")</f>
        <v>Thursday</v>
      </c>
      <c r="K525" t="str" cm="1">
        <f t="array" ref="K5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5">
        <f>ROUND(calls[[#This Row],[Satisfaction Rating]],0)</f>
        <v>4</v>
      </c>
    </row>
    <row r="526" spans="2:12">
      <c r="B526" t="s">
        <v>548</v>
      </c>
      <c r="C526" t="s">
        <v>16</v>
      </c>
      <c r="D526">
        <v>141</v>
      </c>
      <c r="E526" s="17" t="s">
        <v>11</v>
      </c>
      <c r="F526" s="18">
        <v>45080</v>
      </c>
      <c r="G526">
        <v>54</v>
      </c>
      <c r="H526">
        <v>4.8</v>
      </c>
      <c r="I526">
        <f>IF(MONTH(calls[[#This Row],[Date of Call]])&lt;=6, YEAR(calls[[#This Row],[Date of Call]]), YEAR(calls[[#This Row],[Date of Call]])+1)</f>
        <v>2023</v>
      </c>
      <c r="J526" t="str">
        <f>TEXT(calls[[#This Row],[Date of Call]],"DDDD")</f>
        <v>Saturday</v>
      </c>
      <c r="K526" t="str" cm="1">
        <f t="array" ref="K5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26">
        <f>ROUND(calls[[#This Row],[Satisfaction Rating]],0)</f>
        <v>5</v>
      </c>
    </row>
    <row r="527" spans="2:12">
      <c r="B527" t="s">
        <v>549</v>
      </c>
      <c r="C527" t="s">
        <v>15</v>
      </c>
      <c r="D527">
        <v>147</v>
      </c>
      <c r="E527" s="17" t="s">
        <v>6</v>
      </c>
      <c r="F527" s="18">
        <v>45080</v>
      </c>
      <c r="G527">
        <v>115</v>
      </c>
      <c r="H527">
        <v>4.7</v>
      </c>
      <c r="I527">
        <f>IF(MONTH(calls[[#This Row],[Date of Call]])&lt;=6, YEAR(calls[[#This Row],[Date of Call]]), YEAR(calls[[#This Row],[Date of Call]])+1)</f>
        <v>2023</v>
      </c>
      <c r="J527" t="str">
        <f>TEXT(calls[[#This Row],[Date of Call]],"DDDD")</f>
        <v>Saturday</v>
      </c>
      <c r="K527" t="str" cm="1">
        <f t="array" ref="K5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27">
        <f>ROUND(calls[[#This Row],[Satisfaction Rating]],0)</f>
        <v>5</v>
      </c>
    </row>
    <row r="528" spans="2:12">
      <c r="B528" t="s">
        <v>550</v>
      </c>
      <c r="C528" t="s">
        <v>19</v>
      </c>
      <c r="D528">
        <v>49</v>
      </c>
      <c r="E528" s="17" t="s">
        <v>9</v>
      </c>
      <c r="F528" s="18">
        <v>45081</v>
      </c>
      <c r="G528">
        <v>100</v>
      </c>
      <c r="H528">
        <v>2.2000000000000002</v>
      </c>
      <c r="I528">
        <f>IF(MONTH(calls[[#This Row],[Date of Call]])&lt;=6, YEAR(calls[[#This Row],[Date of Call]]), YEAR(calls[[#This Row],[Date of Call]])+1)</f>
        <v>2023</v>
      </c>
      <c r="J528" t="str">
        <f>TEXT(calls[[#This Row],[Date of Call]],"DDDD")</f>
        <v>Sunday</v>
      </c>
      <c r="K528" t="str" cm="1">
        <f t="array" ref="K52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28">
        <f>ROUND(calls[[#This Row],[Satisfaction Rating]],0)</f>
        <v>2</v>
      </c>
    </row>
    <row r="529" spans="2:12">
      <c r="B529" t="s">
        <v>551</v>
      </c>
      <c r="C529" t="s">
        <v>23</v>
      </c>
      <c r="D529">
        <v>75</v>
      </c>
      <c r="E529" s="17" t="s">
        <v>6</v>
      </c>
      <c r="F529" s="18">
        <v>45081</v>
      </c>
      <c r="G529">
        <v>38</v>
      </c>
      <c r="H529">
        <v>4.4000000000000004</v>
      </c>
      <c r="I529">
        <f>IF(MONTH(calls[[#This Row],[Date of Call]])&lt;=6, YEAR(calls[[#This Row],[Date of Call]]), YEAR(calls[[#This Row],[Date of Call]])+1)</f>
        <v>2023</v>
      </c>
      <c r="J529" t="str">
        <f>TEXT(calls[[#This Row],[Date of Call]],"DDDD")</f>
        <v>Sunday</v>
      </c>
      <c r="K529" t="str" cm="1">
        <f t="array" ref="K5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9">
        <f>ROUND(calls[[#This Row],[Satisfaction Rating]],0)</f>
        <v>4</v>
      </c>
    </row>
    <row r="530" spans="2:12">
      <c r="B530" t="s">
        <v>552</v>
      </c>
      <c r="C530" t="s">
        <v>16</v>
      </c>
      <c r="D530">
        <v>48</v>
      </c>
      <c r="E530" s="17" t="s">
        <v>11</v>
      </c>
      <c r="F530" s="18">
        <v>45082</v>
      </c>
      <c r="G530">
        <v>120</v>
      </c>
      <c r="H530">
        <v>4.0999999999999996</v>
      </c>
      <c r="I530">
        <f>IF(MONTH(calls[[#This Row],[Date of Call]])&lt;=6, YEAR(calls[[#This Row],[Date of Call]]), YEAR(calls[[#This Row],[Date of Call]])+1)</f>
        <v>2023</v>
      </c>
      <c r="J530" t="str">
        <f>TEXT(calls[[#This Row],[Date of Call]],"DDDD")</f>
        <v>Monday</v>
      </c>
      <c r="K530" t="str" cm="1">
        <f t="array" ref="K53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0">
        <f>ROUND(calls[[#This Row],[Satisfaction Rating]],0)</f>
        <v>4</v>
      </c>
    </row>
    <row r="531" spans="2:12">
      <c r="B531" t="s">
        <v>553</v>
      </c>
      <c r="C531" t="s">
        <v>22</v>
      </c>
      <c r="D531">
        <v>48</v>
      </c>
      <c r="E531" s="17" t="s">
        <v>11</v>
      </c>
      <c r="F531" s="18">
        <v>45082</v>
      </c>
      <c r="G531">
        <v>120</v>
      </c>
      <c r="H531">
        <v>4.0999999999999996</v>
      </c>
      <c r="I531">
        <f>IF(MONTH(calls[[#This Row],[Date of Call]])&lt;=6, YEAR(calls[[#This Row],[Date of Call]]), YEAR(calls[[#This Row],[Date of Call]])+1)</f>
        <v>2023</v>
      </c>
      <c r="J531" t="str">
        <f>TEXT(calls[[#This Row],[Date of Call]],"DDDD")</f>
        <v>Monday</v>
      </c>
      <c r="K531" t="str" cm="1">
        <f t="array" ref="K53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1">
        <f>ROUND(calls[[#This Row],[Satisfaction Rating]],0)</f>
        <v>4</v>
      </c>
    </row>
    <row r="532" spans="2:12">
      <c r="B532" t="s">
        <v>554</v>
      </c>
      <c r="C532" t="s">
        <v>12</v>
      </c>
      <c r="D532">
        <v>138</v>
      </c>
      <c r="E532" s="17" t="s">
        <v>9</v>
      </c>
      <c r="F532" s="18">
        <v>45082</v>
      </c>
      <c r="G532">
        <v>29</v>
      </c>
      <c r="H532">
        <v>4.4000000000000004</v>
      </c>
      <c r="I532">
        <f>IF(MONTH(calls[[#This Row],[Date of Call]])&lt;=6, YEAR(calls[[#This Row],[Date of Call]]), YEAR(calls[[#This Row],[Date of Call]])+1)</f>
        <v>2023</v>
      </c>
      <c r="J532" t="str">
        <f>TEXT(calls[[#This Row],[Date of Call]],"DDDD")</f>
        <v>Monday</v>
      </c>
      <c r="K532" t="str" cm="1">
        <f t="array" ref="K5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2">
        <f>ROUND(calls[[#This Row],[Satisfaction Rating]],0)</f>
        <v>4</v>
      </c>
    </row>
    <row r="533" spans="2:12">
      <c r="B533" t="s">
        <v>555</v>
      </c>
      <c r="C533" t="s">
        <v>7</v>
      </c>
      <c r="D533">
        <v>144</v>
      </c>
      <c r="E533" s="17" t="s">
        <v>9</v>
      </c>
      <c r="F533" s="18">
        <v>45083</v>
      </c>
      <c r="G533">
        <v>25</v>
      </c>
      <c r="H533">
        <v>3.7</v>
      </c>
      <c r="I533">
        <f>IF(MONTH(calls[[#This Row],[Date of Call]])&lt;=6, YEAR(calls[[#This Row],[Date of Call]]), YEAR(calls[[#This Row],[Date of Call]])+1)</f>
        <v>2023</v>
      </c>
      <c r="J533" t="str">
        <f>TEXT(calls[[#This Row],[Date of Call]],"DDDD")</f>
        <v>Tuesday</v>
      </c>
      <c r="K533" t="str" cm="1">
        <f t="array" ref="K5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3">
        <f>ROUND(calls[[#This Row],[Satisfaction Rating]],0)</f>
        <v>4</v>
      </c>
    </row>
    <row r="534" spans="2:12">
      <c r="B534" t="s">
        <v>556</v>
      </c>
      <c r="C534" t="s">
        <v>17</v>
      </c>
      <c r="D534">
        <v>119</v>
      </c>
      <c r="E534" s="17" t="s">
        <v>6</v>
      </c>
      <c r="F534" s="18">
        <v>45084</v>
      </c>
      <c r="G534">
        <v>116</v>
      </c>
      <c r="H534">
        <v>3.8</v>
      </c>
      <c r="I534">
        <f>IF(MONTH(calls[[#This Row],[Date of Call]])&lt;=6, YEAR(calls[[#This Row],[Date of Call]]), YEAR(calls[[#This Row],[Date of Call]])+1)</f>
        <v>2023</v>
      </c>
      <c r="J534" t="str">
        <f>TEXT(calls[[#This Row],[Date of Call]],"DDDD")</f>
        <v>Wednesday</v>
      </c>
      <c r="K534" t="str" cm="1">
        <f t="array" ref="K5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34">
        <f>ROUND(calls[[#This Row],[Satisfaction Rating]],0)</f>
        <v>4</v>
      </c>
    </row>
    <row r="535" spans="2:12">
      <c r="B535" t="s">
        <v>557</v>
      </c>
      <c r="C535" t="s">
        <v>12</v>
      </c>
      <c r="D535">
        <v>101</v>
      </c>
      <c r="E535" s="17" t="s">
        <v>11</v>
      </c>
      <c r="F535" s="18">
        <v>45085</v>
      </c>
      <c r="G535">
        <v>132</v>
      </c>
      <c r="H535">
        <v>4.3</v>
      </c>
      <c r="I535">
        <f>IF(MONTH(calls[[#This Row],[Date of Call]])&lt;=6, YEAR(calls[[#This Row],[Date of Call]]), YEAR(calls[[#This Row],[Date of Call]])+1)</f>
        <v>2023</v>
      </c>
      <c r="J535" t="str">
        <f>TEXT(calls[[#This Row],[Date of Call]],"DDDD")</f>
        <v>Thursday</v>
      </c>
      <c r="K535" t="str" cm="1">
        <f t="array" ref="K5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35">
        <f>ROUND(calls[[#This Row],[Satisfaction Rating]],0)</f>
        <v>4</v>
      </c>
    </row>
    <row r="536" spans="2:12">
      <c r="B536" t="s">
        <v>558</v>
      </c>
      <c r="C536" t="s">
        <v>7</v>
      </c>
      <c r="D536">
        <v>59</v>
      </c>
      <c r="E536" s="17" t="s">
        <v>6</v>
      </c>
      <c r="F536" s="18">
        <v>45086</v>
      </c>
      <c r="G536">
        <v>90</v>
      </c>
      <c r="H536">
        <v>3.5</v>
      </c>
      <c r="I536">
        <f>IF(MONTH(calls[[#This Row],[Date of Call]])&lt;=6, YEAR(calls[[#This Row],[Date of Call]]), YEAR(calls[[#This Row],[Date of Call]])+1)</f>
        <v>2023</v>
      </c>
      <c r="J536" t="str">
        <f>TEXT(calls[[#This Row],[Date of Call]],"DDDD")</f>
        <v>Friday</v>
      </c>
      <c r="K536" t="str" cm="1">
        <f t="array" ref="K53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6">
        <f>ROUND(calls[[#This Row],[Satisfaction Rating]],0)</f>
        <v>4</v>
      </c>
    </row>
    <row r="537" spans="2:12">
      <c r="B537" t="s">
        <v>559</v>
      </c>
      <c r="C537" t="s">
        <v>14</v>
      </c>
      <c r="D537">
        <v>125</v>
      </c>
      <c r="E537" s="17" t="s">
        <v>10</v>
      </c>
      <c r="F537" s="18">
        <v>45086</v>
      </c>
      <c r="G537">
        <v>87</v>
      </c>
      <c r="H537">
        <v>4.0999999999999996</v>
      </c>
      <c r="I537">
        <f>IF(MONTH(calls[[#This Row],[Date of Call]])&lt;=6, YEAR(calls[[#This Row],[Date of Call]]), YEAR(calls[[#This Row],[Date of Call]])+1)</f>
        <v>2023</v>
      </c>
      <c r="J537" t="str">
        <f>TEXT(calls[[#This Row],[Date of Call]],"DDDD")</f>
        <v>Friday</v>
      </c>
      <c r="K537" t="str" cm="1">
        <f t="array" ref="K5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7">
        <f>ROUND(calls[[#This Row],[Satisfaction Rating]],0)</f>
        <v>4</v>
      </c>
    </row>
    <row r="538" spans="2:12">
      <c r="B538" t="s">
        <v>560</v>
      </c>
      <c r="C538" t="s">
        <v>18</v>
      </c>
      <c r="D538">
        <v>147</v>
      </c>
      <c r="E538" s="17" t="s">
        <v>6</v>
      </c>
      <c r="F538" s="18">
        <v>45086</v>
      </c>
      <c r="G538">
        <v>140</v>
      </c>
      <c r="H538">
        <v>4.2</v>
      </c>
      <c r="I538">
        <f>IF(MONTH(calls[[#This Row],[Date of Call]])&lt;=6, YEAR(calls[[#This Row],[Date of Call]]), YEAR(calls[[#This Row],[Date of Call]])+1)</f>
        <v>2023</v>
      </c>
      <c r="J538" t="str">
        <f>TEXT(calls[[#This Row],[Date of Call]],"DDDD")</f>
        <v>Friday</v>
      </c>
      <c r="K538" t="str" cm="1">
        <f t="array" ref="K53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8">
        <f>ROUND(calls[[#This Row],[Satisfaction Rating]],0)</f>
        <v>4</v>
      </c>
    </row>
    <row r="539" spans="2:12">
      <c r="B539" t="s">
        <v>561</v>
      </c>
      <c r="C539" t="s">
        <v>24</v>
      </c>
      <c r="D539">
        <v>76</v>
      </c>
      <c r="E539" s="17" t="s">
        <v>6</v>
      </c>
      <c r="F539" s="18">
        <v>45086</v>
      </c>
      <c r="G539">
        <v>164</v>
      </c>
      <c r="H539">
        <v>4.5</v>
      </c>
      <c r="I539">
        <f>IF(MONTH(calls[[#This Row],[Date of Call]])&lt;=6, YEAR(calls[[#This Row],[Date of Call]]), YEAR(calls[[#This Row],[Date of Call]])+1)</f>
        <v>2023</v>
      </c>
      <c r="J539" t="str">
        <f>TEXT(calls[[#This Row],[Date of Call]],"DDDD")</f>
        <v>Friday</v>
      </c>
      <c r="K539" t="str" cm="1">
        <f t="array" ref="K5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39">
        <f>ROUND(calls[[#This Row],[Satisfaction Rating]],0)</f>
        <v>5</v>
      </c>
    </row>
    <row r="540" spans="2:12">
      <c r="B540" t="s">
        <v>562</v>
      </c>
      <c r="C540" t="s">
        <v>15</v>
      </c>
      <c r="D540">
        <v>99</v>
      </c>
      <c r="E540" s="17" t="s">
        <v>11</v>
      </c>
      <c r="F540" s="18">
        <v>45087</v>
      </c>
      <c r="G540">
        <v>180</v>
      </c>
      <c r="H540">
        <v>3.8</v>
      </c>
      <c r="I540">
        <f>IF(MONTH(calls[[#This Row],[Date of Call]])&lt;=6, YEAR(calls[[#This Row],[Date of Call]]), YEAR(calls[[#This Row],[Date of Call]])+1)</f>
        <v>2023</v>
      </c>
      <c r="J540" t="str">
        <f>TEXT(calls[[#This Row],[Date of Call]],"DDDD")</f>
        <v>Saturday</v>
      </c>
      <c r="K540" t="str" cm="1">
        <f t="array" ref="K5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0">
        <f>ROUND(calls[[#This Row],[Satisfaction Rating]],0)</f>
        <v>4</v>
      </c>
    </row>
    <row r="541" spans="2:12">
      <c r="B541" t="s">
        <v>563</v>
      </c>
      <c r="C541" t="s">
        <v>5</v>
      </c>
      <c r="D541">
        <v>111</v>
      </c>
      <c r="E541" s="17" t="s">
        <v>13</v>
      </c>
      <c r="F541" s="18">
        <v>45088</v>
      </c>
      <c r="G541">
        <v>22</v>
      </c>
      <c r="H541">
        <v>4.0999999999999996</v>
      </c>
      <c r="I541">
        <f>IF(MONTH(calls[[#This Row],[Date of Call]])&lt;=6, YEAR(calls[[#This Row],[Date of Call]]), YEAR(calls[[#This Row],[Date of Call]])+1)</f>
        <v>2023</v>
      </c>
      <c r="J541" t="str">
        <f>TEXT(calls[[#This Row],[Date of Call]],"DDDD")</f>
        <v>Sunday</v>
      </c>
      <c r="K541" t="str" cm="1">
        <f t="array" ref="K5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1">
        <f>ROUND(calls[[#This Row],[Satisfaction Rating]],0)</f>
        <v>4</v>
      </c>
    </row>
    <row r="542" spans="2:12">
      <c r="B542" t="s">
        <v>564</v>
      </c>
      <c r="C542" t="s">
        <v>8</v>
      </c>
      <c r="D542">
        <v>147</v>
      </c>
      <c r="E542" s="17" t="s">
        <v>10</v>
      </c>
      <c r="F542" s="18">
        <v>45088</v>
      </c>
      <c r="G542">
        <v>82</v>
      </c>
      <c r="H542">
        <v>4.4000000000000004</v>
      </c>
      <c r="I542">
        <f>IF(MONTH(calls[[#This Row],[Date of Call]])&lt;=6, YEAR(calls[[#This Row],[Date of Call]]), YEAR(calls[[#This Row],[Date of Call]])+1)</f>
        <v>2023</v>
      </c>
      <c r="J542" t="str">
        <f>TEXT(calls[[#This Row],[Date of Call]],"DDDD")</f>
        <v>Sunday</v>
      </c>
      <c r="K542" t="str" cm="1">
        <f t="array" ref="K54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2">
        <f>ROUND(calls[[#This Row],[Satisfaction Rating]],0)</f>
        <v>4</v>
      </c>
    </row>
    <row r="543" spans="2:12">
      <c r="B543" t="s">
        <v>565</v>
      </c>
      <c r="C543" t="s">
        <v>20</v>
      </c>
      <c r="D543">
        <v>141</v>
      </c>
      <c r="E543" s="17" t="s">
        <v>11</v>
      </c>
      <c r="F543" s="18">
        <v>45088</v>
      </c>
      <c r="G543">
        <v>100</v>
      </c>
      <c r="H543">
        <v>4.5999999999999996</v>
      </c>
      <c r="I543">
        <f>IF(MONTH(calls[[#This Row],[Date of Call]])&lt;=6, YEAR(calls[[#This Row],[Date of Call]]), YEAR(calls[[#This Row],[Date of Call]])+1)</f>
        <v>2023</v>
      </c>
      <c r="J543" t="str">
        <f>TEXT(calls[[#This Row],[Date of Call]],"DDDD")</f>
        <v>Sunday</v>
      </c>
      <c r="K543" t="str" cm="1">
        <f t="array" ref="K54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3">
        <f>ROUND(calls[[#This Row],[Satisfaction Rating]],0)</f>
        <v>5</v>
      </c>
    </row>
    <row r="544" spans="2:12">
      <c r="B544" t="s">
        <v>566</v>
      </c>
      <c r="C544" t="s">
        <v>24</v>
      </c>
      <c r="D544">
        <v>71</v>
      </c>
      <c r="E544" s="17" t="s">
        <v>6</v>
      </c>
      <c r="F544" s="18">
        <v>45089</v>
      </c>
      <c r="G544">
        <v>52</v>
      </c>
      <c r="H544">
        <v>3.4</v>
      </c>
      <c r="I544">
        <f>IF(MONTH(calls[[#This Row],[Date of Call]])&lt;=6, YEAR(calls[[#This Row],[Date of Call]]), YEAR(calls[[#This Row],[Date of Call]])+1)</f>
        <v>2023</v>
      </c>
      <c r="J544" t="str">
        <f>TEXT(calls[[#This Row],[Date of Call]],"DDDD")</f>
        <v>Monday</v>
      </c>
      <c r="K544" t="str" cm="1">
        <f t="array" ref="K5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4">
        <f>ROUND(calls[[#This Row],[Satisfaction Rating]],0)</f>
        <v>3</v>
      </c>
    </row>
    <row r="545" spans="2:12">
      <c r="B545" t="s">
        <v>567</v>
      </c>
      <c r="C545" t="s">
        <v>24</v>
      </c>
      <c r="D545">
        <v>121</v>
      </c>
      <c r="E545" s="17" t="s">
        <v>10</v>
      </c>
      <c r="F545" s="18">
        <v>45090</v>
      </c>
      <c r="G545">
        <v>84</v>
      </c>
      <c r="H545">
        <v>4.5999999999999996</v>
      </c>
      <c r="I545">
        <f>IF(MONTH(calls[[#This Row],[Date of Call]])&lt;=6, YEAR(calls[[#This Row],[Date of Call]]), YEAR(calls[[#This Row],[Date of Call]])+1)</f>
        <v>2023</v>
      </c>
      <c r="J545" t="str">
        <f>TEXT(calls[[#This Row],[Date of Call]],"DDDD")</f>
        <v>Tuesday</v>
      </c>
      <c r="K545" t="str" cm="1">
        <f t="array" ref="K54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5">
        <f>ROUND(calls[[#This Row],[Satisfaction Rating]],0)</f>
        <v>5</v>
      </c>
    </row>
    <row r="546" spans="2:12">
      <c r="B546" t="s">
        <v>568</v>
      </c>
      <c r="C546" t="s">
        <v>24</v>
      </c>
      <c r="D546">
        <v>60</v>
      </c>
      <c r="E546" s="17" t="s">
        <v>10</v>
      </c>
      <c r="F546" s="18">
        <v>45090</v>
      </c>
      <c r="G546">
        <v>37</v>
      </c>
      <c r="H546">
        <v>3.9</v>
      </c>
      <c r="I546">
        <f>IF(MONTH(calls[[#This Row],[Date of Call]])&lt;=6, YEAR(calls[[#This Row],[Date of Call]]), YEAR(calls[[#This Row],[Date of Call]])+1)</f>
        <v>2023</v>
      </c>
      <c r="J546" t="str">
        <f>TEXT(calls[[#This Row],[Date of Call]],"DDDD")</f>
        <v>Tuesday</v>
      </c>
      <c r="K546" t="str" cm="1">
        <f t="array" ref="K54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46">
        <f>ROUND(calls[[#This Row],[Satisfaction Rating]],0)</f>
        <v>4</v>
      </c>
    </row>
    <row r="547" spans="2:12">
      <c r="B547" t="s">
        <v>569</v>
      </c>
      <c r="C547" t="s">
        <v>19</v>
      </c>
      <c r="D547">
        <v>158</v>
      </c>
      <c r="E547" s="17" t="s">
        <v>11</v>
      </c>
      <c r="F547" s="18">
        <v>45091</v>
      </c>
      <c r="G547">
        <v>190</v>
      </c>
      <c r="H547">
        <v>4</v>
      </c>
      <c r="I547">
        <f>IF(MONTH(calls[[#This Row],[Date of Call]])&lt;=6, YEAR(calls[[#This Row],[Date of Call]]), YEAR(calls[[#This Row],[Date of Call]])+1)</f>
        <v>2023</v>
      </c>
      <c r="J547" t="str">
        <f>TEXT(calls[[#This Row],[Date of Call]],"DDDD")</f>
        <v>Wednesday</v>
      </c>
      <c r="K547" t="str" cm="1">
        <f t="array" ref="K5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7">
        <f>ROUND(calls[[#This Row],[Satisfaction Rating]],0)</f>
        <v>4</v>
      </c>
    </row>
    <row r="548" spans="2:12">
      <c r="B548" t="s">
        <v>570</v>
      </c>
      <c r="C548" t="s">
        <v>18</v>
      </c>
      <c r="D548">
        <v>159</v>
      </c>
      <c r="E548" s="17" t="s">
        <v>9</v>
      </c>
      <c r="F548" s="18">
        <v>45091</v>
      </c>
      <c r="G548">
        <v>66</v>
      </c>
      <c r="H548">
        <v>3.4</v>
      </c>
      <c r="I548">
        <f>IF(MONTH(calls[[#This Row],[Date of Call]])&lt;=6, YEAR(calls[[#This Row],[Date of Call]]), YEAR(calls[[#This Row],[Date of Call]])+1)</f>
        <v>2023</v>
      </c>
      <c r="J548" t="str">
        <f>TEXT(calls[[#This Row],[Date of Call]],"DDDD")</f>
        <v>Wednesday</v>
      </c>
      <c r="K548" t="str" cm="1">
        <f t="array" ref="K54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8">
        <f>ROUND(calls[[#This Row],[Satisfaction Rating]],0)</f>
        <v>3</v>
      </c>
    </row>
    <row r="549" spans="2:12">
      <c r="B549" t="s">
        <v>571</v>
      </c>
      <c r="C549" t="s">
        <v>12</v>
      </c>
      <c r="D549">
        <v>70</v>
      </c>
      <c r="E549" s="17" t="s">
        <v>6</v>
      </c>
      <c r="F549" s="18">
        <v>45092</v>
      </c>
      <c r="G549">
        <v>116</v>
      </c>
      <c r="H549">
        <v>3.2</v>
      </c>
      <c r="I549">
        <f>IF(MONTH(calls[[#This Row],[Date of Call]])&lt;=6, YEAR(calls[[#This Row],[Date of Call]]), YEAR(calls[[#This Row],[Date of Call]])+1)</f>
        <v>2023</v>
      </c>
      <c r="J549" t="str">
        <f>TEXT(calls[[#This Row],[Date of Call]],"DDDD")</f>
        <v>Thursday</v>
      </c>
      <c r="K549" t="str" cm="1">
        <f t="array" ref="K5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9">
        <f>ROUND(calls[[#This Row],[Satisfaction Rating]],0)</f>
        <v>3</v>
      </c>
    </row>
    <row r="550" spans="2:12">
      <c r="B550" t="s">
        <v>572</v>
      </c>
      <c r="C550" t="s">
        <v>16</v>
      </c>
      <c r="D550">
        <v>78</v>
      </c>
      <c r="E550" s="17" t="s">
        <v>13</v>
      </c>
      <c r="F550" s="18">
        <v>45092</v>
      </c>
      <c r="G550">
        <v>28</v>
      </c>
      <c r="H550">
        <v>3.9</v>
      </c>
      <c r="I550">
        <f>IF(MONTH(calls[[#This Row],[Date of Call]])&lt;=6, YEAR(calls[[#This Row],[Date of Call]]), YEAR(calls[[#This Row],[Date of Call]])+1)</f>
        <v>2023</v>
      </c>
      <c r="J550" t="str">
        <f>TEXT(calls[[#This Row],[Date of Call]],"DDDD")</f>
        <v>Thursday</v>
      </c>
      <c r="K550" t="str" cm="1">
        <f t="array" ref="K55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0">
        <f>ROUND(calls[[#This Row],[Satisfaction Rating]],0)</f>
        <v>4</v>
      </c>
    </row>
    <row r="551" spans="2:12">
      <c r="B551" t="s">
        <v>573</v>
      </c>
      <c r="C551" t="s">
        <v>8</v>
      </c>
      <c r="D551">
        <v>103</v>
      </c>
      <c r="E551" s="17" t="s">
        <v>6</v>
      </c>
      <c r="F551" s="18">
        <v>45092</v>
      </c>
      <c r="G551">
        <v>120</v>
      </c>
      <c r="H551">
        <v>5</v>
      </c>
      <c r="I551">
        <f>IF(MONTH(calls[[#This Row],[Date of Call]])&lt;=6, YEAR(calls[[#This Row],[Date of Call]]), YEAR(calls[[#This Row],[Date of Call]])+1)</f>
        <v>2023</v>
      </c>
      <c r="J551" t="str">
        <f>TEXT(calls[[#This Row],[Date of Call]],"DDDD")</f>
        <v>Thursday</v>
      </c>
      <c r="K551" t="str" cm="1">
        <f t="array" ref="K5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1">
        <f>ROUND(calls[[#This Row],[Satisfaction Rating]],0)</f>
        <v>5</v>
      </c>
    </row>
    <row r="552" spans="2:12">
      <c r="B552" t="s">
        <v>574</v>
      </c>
      <c r="C552" t="s">
        <v>23</v>
      </c>
      <c r="D552">
        <v>108</v>
      </c>
      <c r="E552" s="17" t="s">
        <v>11</v>
      </c>
      <c r="F552" s="18">
        <v>45092</v>
      </c>
      <c r="G552">
        <v>56</v>
      </c>
      <c r="H552">
        <v>3.5</v>
      </c>
      <c r="I552">
        <f>IF(MONTH(calls[[#This Row],[Date of Call]])&lt;=6, YEAR(calls[[#This Row],[Date of Call]]), YEAR(calls[[#This Row],[Date of Call]])+1)</f>
        <v>2023</v>
      </c>
      <c r="J552" t="str">
        <f>TEXT(calls[[#This Row],[Date of Call]],"DDDD")</f>
        <v>Thursday</v>
      </c>
      <c r="K552" t="str" cm="1">
        <f t="array" ref="K5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2">
        <f>ROUND(calls[[#This Row],[Satisfaction Rating]],0)</f>
        <v>4</v>
      </c>
    </row>
    <row r="553" spans="2:12">
      <c r="B553" t="s">
        <v>575</v>
      </c>
      <c r="C553" t="s">
        <v>23</v>
      </c>
      <c r="D553">
        <v>44</v>
      </c>
      <c r="E553" s="17" t="s">
        <v>10</v>
      </c>
      <c r="F553" s="18">
        <v>45092</v>
      </c>
      <c r="G553">
        <v>170</v>
      </c>
      <c r="H553">
        <v>3.8</v>
      </c>
      <c r="I553">
        <f>IF(MONTH(calls[[#This Row],[Date of Call]])&lt;=6, YEAR(calls[[#This Row],[Date of Call]]), YEAR(calls[[#This Row],[Date of Call]])+1)</f>
        <v>2023</v>
      </c>
      <c r="J553" t="str">
        <f>TEXT(calls[[#This Row],[Date of Call]],"DDDD")</f>
        <v>Thursday</v>
      </c>
      <c r="K553" t="str" cm="1">
        <f t="array" ref="K55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53">
        <f>ROUND(calls[[#This Row],[Satisfaction Rating]],0)</f>
        <v>4</v>
      </c>
    </row>
    <row r="554" spans="2:12">
      <c r="B554" t="s">
        <v>576</v>
      </c>
      <c r="C554" t="s">
        <v>16</v>
      </c>
      <c r="D554">
        <v>127</v>
      </c>
      <c r="E554" s="17" t="s">
        <v>11</v>
      </c>
      <c r="F554" s="18">
        <v>45093</v>
      </c>
      <c r="G554">
        <v>200</v>
      </c>
      <c r="H554">
        <v>4.8</v>
      </c>
      <c r="I554">
        <f>IF(MONTH(calls[[#This Row],[Date of Call]])&lt;=6, YEAR(calls[[#This Row],[Date of Call]]), YEAR(calls[[#This Row],[Date of Call]])+1)</f>
        <v>2023</v>
      </c>
      <c r="J554" t="str">
        <f>TEXT(calls[[#This Row],[Date of Call]],"DDDD")</f>
        <v>Friday</v>
      </c>
      <c r="K554" t="str" cm="1">
        <f t="array" ref="K5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54">
        <f>ROUND(calls[[#This Row],[Satisfaction Rating]],0)</f>
        <v>5</v>
      </c>
    </row>
    <row r="555" spans="2:12">
      <c r="B555" t="s">
        <v>577</v>
      </c>
      <c r="C555" t="s">
        <v>8</v>
      </c>
      <c r="D555">
        <v>132</v>
      </c>
      <c r="E555" s="17" t="s">
        <v>6</v>
      </c>
      <c r="F555" s="18">
        <v>45094</v>
      </c>
      <c r="G555">
        <v>50</v>
      </c>
      <c r="H555">
        <v>4.2</v>
      </c>
      <c r="I555">
        <f>IF(MONTH(calls[[#This Row],[Date of Call]])&lt;=6, YEAR(calls[[#This Row],[Date of Call]]), YEAR(calls[[#This Row],[Date of Call]])+1)</f>
        <v>2023</v>
      </c>
      <c r="J555" t="str">
        <f>TEXT(calls[[#This Row],[Date of Call]],"DDDD")</f>
        <v>Saturday</v>
      </c>
      <c r="K555" t="str" cm="1">
        <f t="array" ref="K55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55">
        <f>ROUND(calls[[#This Row],[Satisfaction Rating]],0)</f>
        <v>4</v>
      </c>
    </row>
    <row r="556" spans="2:12">
      <c r="B556" t="s">
        <v>578</v>
      </c>
      <c r="C556" t="s">
        <v>20</v>
      </c>
      <c r="D556">
        <v>106</v>
      </c>
      <c r="E556" s="17" t="s">
        <v>13</v>
      </c>
      <c r="F556" s="18">
        <v>45094</v>
      </c>
      <c r="G556">
        <v>112</v>
      </c>
      <c r="H556">
        <v>3.7</v>
      </c>
      <c r="I556">
        <f>IF(MONTH(calls[[#This Row],[Date of Call]])&lt;=6, YEAR(calls[[#This Row],[Date of Call]]), YEAR(calls[[#This Row],[Date of Call]])+1)</f>
        <v>2023</v>
      </c>
      <c r="J556" t="str">
        <f>TEXT(calls[[#This Row],[Date of Call]],"DDDD")</f>
        <v>Saturday</v>
      </c>
      <c r="K556" t="str" cm="1">
        <f t="array" ref="K5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6">
        <f>ROUND(calls[[#This Row],[Satisfaction Rating]],0)</f>
        <v>4</v>
      </c>
    </row>
    <row r="557" spans="2:12">
      <c r="B557" t="s">
        <v>579</v>
      </c>
      <c r="C557" t="s">
        <v>5</v>
      </c>
      <c r="D557">
        <v>107</v>
      </c>
      <c r="E557" s="17" t="s">
        <v>6</v>
      </c>
      <c r="F557" s="18">
        <v>45095</v>
      </c>
      <c r="G557">
        <v>39</v>
      </c>
      <c r="H557">
        <v>4.8</v>
      </c>
      <c r="I557">
        <f>IF(MONTH(calls[[#This Row],[Date of Call]])&lt;=6, YEAR(calls[[#This Row],[Date of Call]]), YEAR(calls[[#This Row],[Date of Call]])+1)</f>
        <v>2023</v>
      </c>
      <c r="J557" t="str">
        <f>TEXT(calls[[#This Row],[Date of Call]],"DDDD")</f>
        <v>Sunday</v>
      </c>
      <c r="K557" t="str" cm="1">
        <f t="array" ref="K5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7">
        <f>ROUND(calls[[#This Row],[Satisfaction Rating]],0)</f>
        <v>5</v>
      </c>
    </row>
    <row r="558" spans="2:12">
      <c r="B558" t="s">
        <v>580</v>
      </c>
      <c r="C558" t="s">
        <v>18</v>
      </c>
      <c r="D558">
        <v>85</v>
      </c>
      <c r="E558" s="17" t="s">
        <v>13</v>
      </c>
      <c r="F558" s="18">
        <v>45095</v>
      </c>
      <c r="G558">
        <v>38</v>
      </c>
      <c r="H558">
        <v>4.8</v>
      </c>
      <c r="I558">
        <f>IF(MONTH(calls[[#This Row],[Date of Call]])&lt;=6, YEAR(calls[[#This Row],[Date of Call]]), YEAR(calls[[#This Row],[Date of Call]])+1)</f>
        <v>2023</v>
      </c>
      <c r="J558" t="str">
        <f>TEXT(calls[[#This Row],[Date of Call]],"DDDD")</f>
        <v>Sunday</v>
      </c>
      <c r="K558" t="str" cm="1">
        <f t="array" ref="K5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8">
        <f>ROUND(calls[[#This Row],[Satisfaction Rating]],0)</f>
        <v>5</v>
      </c>
    </row>
    <row r="559" spans="2:12">
      <c r="B559" t="s">
        <v>581</v>
      </c>
      <c r="C559" t="s">
        <v>15</v>
      </c>
      <c r="D559">
        <v>49</v>
      </c>
      <c r="E559" s="17" t="s">
        <v>6</v>
      </c>
      <c r="F559" s="18">
        <v>45096</v>
      </c>
      <c r="G559">
        <v>84</v>
      </c>
      <c r="H559">
        <v>2.9</v>
      </c>
      <c r="I559">
        <f>IF(MONTH(calls[[#This Row],[Date of Call]])&lt;=6, YEAR(calls[[#This Row],[Date of Call]]), YEAR(calls[[#This Row],[Date of Call]])+1)</f>
        <v>2023</v>
      </c>
      <c r="J559" t="str">
        <f>TEXT(calls[[#This Row],[Date of Call]],"DDDD")</f>
        <v>Monday</v>
      </c>
      <c r="K559" t="str" cm="1">
        <f t="array" ref="K5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59">
        <f>ROUND(calls[[#This Row],[Satisfaction Rating]],0)</f>
        <v>3</v>
      </c>
    </row>
    <row r="560" spans="2:12">
      <c r="B560" t="s">
        <v>582</v>
      </c>
      <c r="C560" t="s">
        <v>24</v>
      </c>
      <c r="D560">
        <v>117</v>
      </c>
      <c r="E560" s="17" t="s">
        <v>11</v>
      </c>
      <c r="F560" s="18">
        <v>45097</v>
      </c>
      <c r="G560">
        <v>82</v>
      </c>
      <c r="H560">
        <v>3.5</v>
      </c>
      <c r="I560">
        <f>IF(MONTH(calls[[#This Row],[Date of Call]])&lt;=6, YEAR(calls[[#This Row],[Date of Call]]), YEAR(calls[[#This Row],[Date of Call]])+1)</f>
        <v>2023</v>
      </c>
      <c r="J560" t="str">
        <f>TEXT(calls[[#This Row],[Date of Call]],"DDDD")</f>
        <v>Tuesday</v>
      </c>
      <c r="K560" t="str" cm="1">
        <f t="array" ref="K5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0">
        <f>ROUND(calls[[#This Row],[Satisfaction Rating]],0)</f>
        <v>4</v>
      </c>
    </row>
    <row r="561" spans="2:12">
      <c r="B561" t="s">
        <v>583</v>
      </c>
      <c r="C561" t="s">
        <v>5</v>
      </c>
      <c r="D561">
        <v>136</v>
      </c>
      <c r="E561" s="17" t="s">
        <v>13</v>
      </c>
      <c r="F561" s="18">
        <v>45097</v>
      </c>
      <c r="G561">
        <v>37</v>
      </c>
      <c r="H561">
        <v>0.9</v>
      </c>
      <c r="I561">
        <f>IF(MONTH(calls[[#This Row],[Date of Call]])&lt;=6, YEAR(calls[[#This Row],[Date of Call]]), YEAR(calls[[#This Row],[Date of Call]])+1)</f>
        <v>2023</v>
      </c>
      <c r="J561" t="str">
        <f>TEXT(calls[[#This Row],[Date of Call]],"DDDD")</f>
        <v>Tuesday</v>
      </c>
      <c r="K561" t="str" cm="1">
        <f t="array" ref="K56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61">
        <f>ROUND(calls[[#This Row],[Satisfaction Rating]],0)</f>
        <v>1</v>
      </c>
    </row>
    <row r="562" spans="2:12">
      <c r="B562" t="s">
        <v>584</v>
      </c>
      <c r="C562" t="s">
        <v>23</v>
      </c>
      <c r="D562">
        <v>130</v>
      </c>
      <c r="E562" s="17" t="s">
        <v>9</v>
      </c>
      <c r="F562" s="18">
        <v>45098</v>
      </c>
      <c r="G562">
        <v>87</v>
      </c>
      <c r="H562">
        <v>3.4</v>
      </c>
      <c r="I562">
        <f>IF(MONTH(calls[[#This Row],[Date of Call]])&lt;=6, YEAR(calls[[#This Row],[Date of Call]]), YEAR(calls[[#This Row],[Date of Call]])+1)</f>
        <v>2023</v>
      </c>
      <c r="J562" t="str">
        <f>TEXT(calls[[#This Row],[Date of Call]],"DDDD")</f>
        <v>Wednesday</v>
      </c>
      <c r="K562" t="str" cm="1">
        <f t="array" ref="K56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62">
        <f>ROUND(calls[[#This Row],[Satisfaction Rating]],0)</f>
        <v>3</v>
      </c>
    </row>
    <row r="563" spans="2:12">
      <c r="B563" t="s">
        <v>585</v>
      </c>
      <c r="C563" t="s">
        <v>23</v>
      </c>
      <c r="D563">
        <v>73</v>
      </c>
      <c r="E563" s="17" t="s">
        <v>9</v>
      </c>
      <c r="F563" s="18">
        <v>45098</v>
      </c>
      <c r="G563">
        <v>75</v>
      </c>
      <c r="H563">
        <v>2.7</v>
      </c>
      <c r="I563">
        <f>IF(MONTH(calls[[#This Row],[Date of Call]])&lt;=6, YEAR(calls[[#This Row],[Date of Call]]), YEAR(calls[[#This Row],[Date of Call]])+1)</f>
        <v>2023</v>
      </c>
      <c r="J563" t="str">
        <f>TEXT(calls[[#This Row],[Date of Call]],"DDDD")</f>
        <v>Wednesday</v>
      </c>
      <c r="K563" t="str" cm="1">
        <f t="array" ref="K5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3">
        <f>ROUND(calls[[#This Row],[Satisfaction Rating]],0)</f>
        <v>3</v>
      </c>
    </row>
    <row r="564" spans="2:12">
      <c r="B564" t="s">
        <v>586</v>
      </c>
      <c r="C564" t="s">
        <v>15</v>
      </c>
      <c r="D564">
        <v>80</v>
      </c>
      <c r="E564" s="17" t="s">
        <v>6</v>
      </c>
      <c r="F564" s="18">
        <v>45098</v>
      </c>
      <c r="G564">
        <v>32</v>
      </c>
      <c r="H564">
        <v>4.7</v>
      </c>
      <c r="I564">
        <f>IF(MONTH(calls[[#This Row],[Date of Call]])&lt;=6, YEAR(calls[[#This Row],[Date of Call]]), YEAR(calls[[#This Row],[Date of Call]])+1)</f>
        <v>2023</v>
      </c>
      <c r="J564" t="str">
        <f>TEXT(calls[[#This Row],[Date of Call]],"DDDD")</f>
        <v>Wednesday</v>
      </c>
      <c r="K564" t="str" cm="1">
        <f t="array" ref="K5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4">
        <f>ROUND(calls[[#This Row],[Satisfaction Rating]],0)</f>
        <v>5</v>
      </c>
    </row>
    <row r="565" spans="2:12">
      <c r="B565" t="s">
        <v>587</v>
      </c>
      <c r="C565" t="s">
        <v>17</v>
      </c>
      <c r="D565">
        <v>44</v>
      </c>
      <c r="E565" s="17" t="s">
        <v>11</v>
      </c>
      <c r="F565" s="18">
        <v>45098</v>
      </c>
      <c r="G565">
        <v>33</v>
      </c>
      <c r="H565">
        <v>3</v>
      </c>
      <c r="I565">
        <f>IF(MONTH(calls[[#This Row],[Date of Call]])&lt;=6, YEAR(calls[[#This Row],[Date of Call]]), YEAR(calls[[#This Row],[Date of Call]])+1)</f>
        <v>2023</v>
      </c>
      <c r="J565" t="str">
        <f>TEXT(calls[[#This Row],[Date of Call]],"DDDD")</f>
        <v>Wednesday</v>
      </c>
      <c r="K565" t="str" cm="1">
        <f t="array" ref="K5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65">
        <f>ROUND(calls[[#This Row],[Satisfaction Rating]],0)</f>
        <v>3</v>
      </c>
    </row>
    <row r="566" spans="2:12">
      <c r="B566" t="s">
        <v>588</v>
      </c>
      <c r="C566" t="s">
        <v>17</v>
      </c>
      <c r="D566">
        <v>102</v>
      </c>
      <c r="E566" s="17" t="s">
        <v>10</v>
      </c>
      <c r="F566" s="18">
        <v>45098</v>
      </c>
      <c r="G566">
        <v>76</v>
      </c>
      <c r="H566">
        <v>4.2</v>
      </c>
      <c r="I566">
        <f>IF(MONTH(calls[[#This Row],[Date of Call]])&lt;=6, YEAR(calls[[#This Row],[Date of Call]]), YEAR(calls[[#This Row],[Date of Call]])+1)</f>
        <v>2023</v>
      </c>
      <c r="J566" t="str">
        <f>TEXT(calls[[#This Row],[Date of Call]],"DDDD")</f>
        <v>Wednesday</v>
      </c>
      <c r="K566" t="str" cm="1">
        <f t="array" ref="K5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6">
        <f>ROUND(calls[[#This Row],[Satisfaction Rating]],0)</f>
        <v>4</v>
      </c>
    </row>
    <row r="567" spans="2:12">
      <c r="B567" t="s">
        <v>589</v>
      </c>
      <c r="C567" t="s">
        <v>19</v>
      </c>
      <c r="D567">
        <v>74</v>
      </c>
      <c r="E567" s="17" t="s">
        <v>10</v>
      </c>
      <c r="F567" s="18">
        <v>45098</v>
      </c>
      <c r="G567">
        <v>117</v>
      </c>
      <c r="H567">
        <v>4.8</v>
      </c>
      <c r="I567">
        <f>IF(MONTH(calls[[#This Row],[Date of Call]])&lt;=6, YEAR(calls[[#This Row],[Date of Call]]), YEAR(calls[[#This Row],[Date of Call]])+1)</f>
        <v>2023</v>
      </c>
      <c r="J567" t="str">
        <f>TEXT(calls[[#This Row],[Date of Call]],"DDDD")</f>
        <v>Wednesday</v>
      </c>
      <c r="K567" t="str" cm="1">
        <f t="array" ref="K5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7">
        <f>ROUND(calls[[#This Row],[Satisfaction Rating]],0)</f>
        <v>5</v>
      </c>
    </row>
    <row r="568" spans="2:12">
      <c r="B568" t="s">
        <v>590</v>
      </c>
      <c r="C568" t="s">
        <v>15</v>
      </c>
      <c r="D568">
        <v>52</v>
      </c>
      <c r="E568" s="17" t="s">
        <v>11</v>
      </c>
      <c r="F568" s="18">
        <v>45100</v>
      </c>
      <c r="G568">
        <v>70</v>
      </c>
      <c r="H568">
        <v>4.0999999999999996</v>
      </c>
      <c r="I568">
        <f>IF(MONTH(calls[[#This Row],[Date of Call]])&lt;=6, YEAR(calls[[#This Row],[Date of Call]]), YEAR(calls[[#This Row],[Date of Call]])+1)</f>
        <v>2023</v>
      </c>
      <c r="J568" t="str">
        <f>TEXT(calls[[#This Row],[Date of Call]],"DDDD")</f>
        <v>Friday</v>
      </c>
      <c r="K568" t="str" cm="1">
        <f t="array" ref="K56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68">
        <f>ROUND(calls[[#This Row],[Satisfaction Rating]],0)</f>
        <v>4</v>
      </c>
    </row>
    <row r="569" spans="2:12">
      <c r="B569" t="s">
        <v>591</v>
      </c>
      <c r="C569" t="s">
        <v>15</v>
      </c>
      <c r="D569">
        <v>74</v>
      </c>
      <c r="E569" s="17" t="s">
        <v>9</v>
      </c>
      <c r="F569" s="18">
        <v>45100</v>
      </c>
      <c r="G569">
        <v>37</v>
      </c>
      <c r="H569">
        <v>2.7</v>
      </c>
      <c r="I569">
        <f>IF(MONTH(calls[[#This Row],[Date of Call]])&lt;=6, YEAR(calls[[#This Row],[Date of Call]]), YEAR(calls[[#This Row],[Date of Call]])+1)</f>
        <v>2023</v>
      </c>
      <c r="J569" t="str">
        <f>TEXT(calls[[#This Row],[Date of Call]],"DDDD")</f>
        <v>Friday</v>
      </c>
      <c r="K569" t="str" cm="1">
        <f t="array" ref="K5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9">
        <f>ROUND(calls[[#This Row],[Satisfaction Rating]],0)</f>
        <v>3</v>
      </c>
    </row>
    <row r="570" spans="2:12">
      <c r="B570" t="s">
        <v>592</v>
      </c>
      <c r="C570" t="s">
        <v>23</v>
      </c>
      <c r="D570">
        <v>96</v>
      </c>
      <c r="E570" s="17" t="s">
        <v>10</v>
      </c>
      <c r="F570" s="18">
        <v>45100</v>
      </c>
      <c r="G570">
        <v>46</v>
      </c>
      <c r="H570">
        <v>2.9</v>
      </c>
      <c r="I570">
        <f>IF(MONTH(calls[[#This Row],[Date of Call]])&lt;=6, YEAR(calls[[#This Row],[Date of Call]]), YEAR(calls[[#This Row],[Date of Call]])+1)</f>
        <v>2023</v>
      </c>
      <c r="J570" t="str">
        <f>TEXT(calls[[#This Row],[Date of Call]],"DDDD")</f>
        <v>Friday</v>
      </c>
      <c r="K570" t="str" cm="1">
        <f t="array" ref="K5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70">
        <f>ROUND(calls[[#This Row],[Satisfaction Rating]],0)</f>
        <v>3</v>
      </c>
    </row>
    <row r="571" spans="2:12">
      <c r="B571" t="s">
        <v>593</v>
      </c>
      <c r="C571" t="s">
        <v>14</v>
      </c>
      <c r="D571">
        <v>104</v>
      </c>
      <c r="E571" s="17" t="s">
        <v>6</v>
      </c>
      <c r="F571" s="18">
        <v>45100</v>
      </c>
      <c r="G571">
        <v>136</v>
      </c>
      <c r="H571">
        <v>5</v>
      </c>
      <c r="I571">
        <f>IF(MONTH(calls[[#This Row],[Date of Call]])&lt;=6, YEAR(calls[[#This Row],[Date of Call]]), YEAR(calls[[#This Row],[Date of Call]])+1)</f>
        <v>2023</v>
      </c>
      <c r="J571" t="str">
        <f>TEXT(calls[[#This Row],[Date of Call]],"DDDD")</f>
        <v>Friday</v>
      </c>
      <c r="K571" t="str" cm="1">
        <f t="array" ref="K5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71">
        <f>ROUND(calls[[#This Row],[Satisfaction Rating]],0)</f>
        <v>5</v>
      </c>
    </row>
    <row r="572" spans="2:12">
      <c r="B572" t="s">
        <v>594</v>
      </c>
      <c r="C572" t="s">
        <v>23</v>
      </c>
      <c r="D572">
        <v>123</v>
      </c>
      <c r="E572" s="17" t="s">
        <v>10</v>
      </c>
      <c r="F572" s="18">
        <v>45101</v>
      </c>
      <c r="G572">
        <v>44</v>
      </c>
      <c r="H572">
        <v>4.5999999999999996</v>
      </c>
      <c r="I572">
        <f>IF(MONTH(calls[[#This Row],[Date of Call]])&lt;=6, YEAR(calls[[#This Row],[Date of Call]]), YEAR(calls[[#This Row],[Date of Call]])+1)</f>
        <v>2023</v>
      </c>
      <c r="J572" t="str">
        <f>TEXT(calls[[#This Row],[Date of Call]],"DDDD")</f>
        <v>Saturday</v>
      </c>
      <c r="K572" t="str" cm="1">
        <f t="array" ref="K57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2">
        <f>ROUND(calls[[#This Row],[Satisfaction Rating]],0)</f>
        <v>5</v>
      </c>
    </row>
    <row r="573" spans="2:12">
      <c r="B573" t="s">
        <v>595</v>
      </c>
      <c r="C573" t="s">
        <v>22</v>
      </c>
      <c r="D573">
        <v>100</v>
      </c>
      <c r="E573" s="17" t="s">
        <v>13</v>
      </c>
      <c r="F573" s="18">
        <v>45101</v>
      </c>
      <c r="G573">
        <v>69</v>
      </c>
      <c r="H573">
        <v>3</v>
      </c>
      <c r="I573">
        <f>IF(MONTH(calls[[#This Row],[Date of Call]])&lt;=6, YEAR(calls[[#This Row],[Date of Call]]), YEAR(calls[[#This Row],[Date of Call]])+1)</f>
        <v>2023</v>
      </c>
      <c r="J573" t="str">
        <f>TEXT(calls[[#This Row],[Date of Call]],"DDDD")</f>
        <v>Saturday</v>
      </c>
      <c r="K573" t="str" cm="1">
        <f t="array" ref="K5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73">
        <f>ROUND(calls[[#This Row],[Satisfaction Rating]],0)</f>
        <v>3</v>
      </c>
    </row>
    <row r="574" spans="2:12">
      <c r="B574" t="s">
        <v>596</v>
      </c>
      <c r="C574" t="s">
        <v>14</v>
      </c>
      <c r="D574">
        <v>35</v>
      </c>
      <c r="E574" s="17" t="s">
        <v>11</v>
      </c>
      <c r="F574" s="18">
        <v>45102</v>
      </c>
      <c r="G574">
        <v>86</v>
      </c>
      <c r="H574">
        <v>4.5999999999999996</v>
      </c>
      <c r="I574">
        <f>IF(MONTH(calls[[#This Row],[Date of Call]])&lt;=6, YEAR(calls[[#This Row],[Date of Call]]), YEAR(calls[[#This Row],[Date of Call]])+1)</f>
        <v>2023</v>
      </c>
      <c r="J574" t="str">
        <f>TEXT(calls[[#This Row],[Date of Call]],"DDDD")</f>
        <v>Sunday</v>
      </c>
      <c r="K574" t="str" cm="1">
        <f t="array" ref="K57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74">
        <f>ROUND(calls[[#This Row],[Satisfaction Rating]],0)</f>
        <v>5</v>
      </c>
    </row>
    <row r="575" spans="2:12">
      <c r="B575" t="s">
        <v>597</v>
      </c>
      <c r="C575" t="s">
        <v>15</v>
      </c>
      <c r="D575">
        <v>123</v>
      </c>
      <c r="E575" s="17" t="s">
        <v>6</v>
      </c>
      <c r="F575" s="18">
        <v>45102</v>
      </c>
      <c r="G575">
        <v>68</v>
      </c>
      <c r="H575">
        <v>4.5</v>
      </c>
      <c r="I575">
        <f>IF(MONTH(calls[[#This Row],[Date of Call]])&lt;=6, YEAR(calls[[#This Row],[Date of Call]]), YEAR(calls[[#This Row],[Date of Call]])+1)</f>
        <v>2023</v>
      </c>
      <c r="J575" t="str">
        <f>TEXT(calls[[#This Row],[Date of Call]],"DDDD")</f>
        <v>Sunday</v>
      </c>
      <c r="K575" t="str" cm="1">
        <f t="array" ref="K57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5">
        <f>ROUND(calls[[#This Row],[Satisfaction Rating]],0)</f>
        <v>5</v>
      </c>
    </row>
    <row r="576" spans="2:12">
      <c r="B576" t="s">
        <v>598</v>
      </c>
      <c r="C576" t="s">
        <v>24</v>
      </c>
      <c r="D576">
        <v>133</v>
      </c>
      <c r="E576" s="17" t="s">
        <v>11</v>
      </c>
      <c r="F576" s="18">
        <v>45103</v>
      </c>
      <c r="G576">
        <v>21</v>
      </c>
      <c r="H576">
        <v>3.7</v>
      </c>
      <c r="I576">
        <f>IF(MONTH(calls[[#This Row],[Date of Call]])&lt;=6, YEAR(calls[[#This Row],[Date of Call]]), YEAR(calls[[#This Row],[Date of Call]])+1)</f>
        <v>2023</v>
      </c>
      <c r="J576" t="str">
        <f>TEXT(calls[[#This Row],[Date of Call]],"DDDD")</f>
        <v>Monday</v>
      </c>
      <c r="K576" t="str" cm="1">
        <f t="array" ref="K57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6">
        <f>ROUND(calls[[#This Row],[Satisfaction Rating]],0)</f>
        <v>4</v>
      </c>
    </row>
    <row r="577" spans="2:12">
      <c r="B577" t="s">
        <v>599</v>
      </c>
      <c r="C577" t="s">
        <v>23</v>
      </c>
      <c r="D577">
        <v>126</v>
      </c>
      <c r="E577" s="17" t="s">
        <v>9</v>
      </c>
      <c r="F577" s="18">
        <v>45103</v>
      </c>
      <c r="G577">
        <v>190</v>
      </c>
      <c r="H577">
        <v>2.4</v>
      </c>
      <c r="I577">
        <f>IF(MONTH(calls[[#This Row],[Date of Call]])&lt;=6, YEAR(calls[[#This Row],[Date of Call]]), YEAR(calls[[#This Row],[Date of Call]])+1)</f>
        <v>2023</v>
      </c>
      <c r="J577" t="str">
        <f>TEXT(calls[[#This Row],[Date of Call]],"DDDD")</f>
        <v>Monday</v>
      </c>
      <c r="K577" t="str" cm="1">
        <f t="array" ref="K5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7">
        <f>ROUND(calls[[#This Row],[Satisfaction Rating]],0)</f>
        <v>2</v>
      </c>
    </row>
    <row r="578" spans="2:12">
      <c r="B578" t="s">
        <v>600</v>
      </c>
      <c r="C578" t="s">
        <v>15</v>
      </c>
      <c r="D578">
        <v>39</v>
      </c>
      <c r="E578" s="17" t="s">
        <v>10</v>
      </c>
      <c r="F578" s="18">
        <v>45103</v>
      </c>
      <c r="G578">
        <v>176</v>
      </c>
      <c r="H578">
        <v>4.3</v>
      </c>
      <c r="I578">
        <f>IF(MONTH(calls[[#This Row],[Date of Call]])&lt;=6, YEAR(calls[[#This Row],[Date of Call]]), YEAR(calls[[#This Row],[Date of Call]])+1)</f>
        <v>2023</v>
      </c>
      <c r="J578" t="str">
        <f>TEXT(calls[[#This Row],[Date of Call]],"DDDD")</f>
        <v>Monday</v>
      </c>
      <c r="K578" t="str" cm="1">
        <f t="array" ref="K57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78">
        <f>ROUND(calls[[#This Row],[Satisfaction Rating]],0)</f>
        <v>4</v>
      </c>
    </row>
    <row r="579" spans="2:12">
      <c r="B579" t="s">
        <v>601</v>
      </c>
      <c r="C579" t="s">
        <v>19</v>
      </c>
      <c r="D579">
        <v>31</v>
      </c>
      <c r="E579" s="17" t="s">
        <v>6</v>
      </c>
      <c r="F579" s="18">
        <v>45103</v>
      </c>
      <c r="G579">
        <v>172</v>
      </c>
      <c r="H579">
        <v>3.9</v>
      </c>
      <c r="I579">
        <f>IF(MONTH(calls[[#This Row],[Date of Call]])&lt;=6, YEAR(calls[[#This Row],[Date of Call]]), YEAR(calls[[#This Row],[Date of Call]])+1)</f>
        <v>2023</v>
      </c>
      <c r="J579" t="str">
        <f>TEXT(calls[[#This Row],[Date of Call]],"DDDD")</f>
        <v>Monday</v>
      </c>
      <c r="K579" t="str" cm="1">
        <f t="array" ref="K57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79">
        <f>ROUND(calls[[#This Row],[Satisfaction Rating]],0)</f>
        <v>4</v>
      </c>
    </row>
    <row r="580" spans="2:12">
      <c r="B580" t="s">
        <v>602</v>
      </c>
      <c r="C580" t="s">
        <v>8</v>
      </c>
      <c r="D580">
        <v>25</v>
      </c>
      <c r="E580" s="17" t="s">
        <v>11</v>
      </c>
      <c r="F580" s="18">
        <v>45103</v>
      </c>
      <c r="G580">
        <v>84</v>
      </c>
      <c r="H580">
        <v>4.5</v>
      </c>
      <c r="I580">
        <f>IF(MONTH(calls[[#This Row],[Date of Call]])&lt;=6, YEAR(calls[[#This Row],[Date of Call]]), YEAR(calls[[#This Row],[Date of Call]])+1)</f>
        <v>2023</v>
      </c>
      <c r="J580" t="str">
        <f>TEXT(calls[[#This Row],[Date of Call]],"DDDD")</f>
        <v>Monday</v>
      </c>
      <c r="K580" t="str" cm="1">
        <f t="array" ref="K58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580">
        <f>ROUND(calls[[#This Row],[Satisfaction Rating]],0)</f>
        <v>5</v>
      </c>
    </row>
    <row r="581" spans="2:12">
      <c r="B581" t="s">
        <v>603</v>
      </c>
      <c r="C581" t="s">
        <v>12</v>
      </c>
      <c r="D581">
        <v>132</v>
      </c>
      <c r="E581" s="17" t="s">
        <v>13</v>
      </c>
      <c r="F581" s="18">
        <v>45104</v>
      </c>
      <c r="G581">
        <v>42</v>
      </c>
      <c r="H581">
        <v>5</v>
      </c>
      <c r="I581">
        <f>IF(MONTH(calls[[#This Row],[Date of Call]])&lt;=6, YEAR(calls[[#This Row],[Date of Call]]), YEAR(calls[[#This Row],[Date of Call]])+1)</f>
        <v>2023</v>
      </c>
      <c r="J581" t="str">
        <f>TEXT(calls[[#This Row],[Date of Call]],"DDDD")</f>
        <v>Tuesday</v>
      </c>
      <c r="K581" t="str" cm="1">
        <f t="array" ref="K58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81">
        <f>ROUND(calls[[#This Row],[Satisfaction Rating]],0)</f>
        <v>5</v>
      </c>
    </row>
    <row r="582" spans="2:12">
      <c r="B582" t="s">
        <v>604</v>
      </c>
      <c r="C582" t="s">
        <v>14</v>
      </c>
      <c r="D582">
        <v>63</v>
      </c>
      <c r="E582" s="17" t="s">
        <v>9</v>
      </c>
      <c r="F582" s="18">
        <v>45104</v>
      </c>
      <c r="G582">
        <v>70</v>
      </c>
      <c r="H582">
        <v>1.6</v>
      </c>
      <c r="I582">
        <f>IF(MONTH(calls[[#This Row],[Date of Call]])&lt;=6, YEAR(calls[[#This Row],[Date of Call]]), YEAR(calls[[#This Row],[Date of Call]])+1)</f>
        <v>2023</v>
      </c>
      <c r="J582" t="str">
        <f>TEXT(calls[[#This Row],[Date of Call]],"DDDD")</f>
        <v>Tuesday</v>
      </c>
      <c r="K582" t="str" cm="1">
        <f t="array" ref="K5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2">
        <f>ROUND(calls[[#This Row],[Satisfaction Rating]],0)</f>
        <v>2</v>
      </c>
    </row>
    <row r="583" spans="2:12">
      <c r="B583" t="s">
        <v>605</v>
      </c>
      <c r="C583" t="s">
        <v>22</v>
      </c>
      <c r="D583">
        <v>135</v>
      </c>
      <c r="E583" s="17" t="s">
        <v>13</v>
      </c>
      <c r="F583" s="18">
        <v>45104</v>
      </c>
      <c r="G583">
        <v>60</v>
      </c>
      <c r="H583">
        <v>4.3</v>
      </c>
      <c r="I583">
        <f>IF(MONTH(calls[[#This Row],[Date of Call]])&lt;=6, YEAR(calls[[#This Row],[Date of Call]]), YEAR(calls[[#This Row],[Date of Call]])+1)</f>
        <v>2023</v>
      </c>
      <c r="J583" t="str">
        <f>TEXT(calls[[#This Row],[Date of Call]],"DDDD")</f>
        <v>Tuesday</v>
      </c>
      <c r="K583" t="str" cm="1">
        <f t="array" ref="K58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83">
        <f>ROUND(calls[[#This Row],[Satisfaction Rating]],0)</f>
        <v>4</v>
      </c>
    </row>
    <row r="584" spans="2:12">
      <c r="B584" t="s">
        <v>606</v>
      </c>
      <c r="C584" t="s">
        <v>18</v>
      </c>
      <c r="D584">
        <v>101</v>
      </c>
      <c r="E584" s="17" t="s">
        <v>9</v>
      </c>
      <c r="F584" s="18">
        <v>45104</v>
      </c>
      <c r="G584">
        <v>84</v>
      </c>
      <c r="H584">
        <v>3.5</v>
      </c>
      <c r="I584">
        <f>IF(MONTH(calls[[#This Row],[Date of Call]])&lt;=6, YEAR(calls[[#This Row],[Date of Call]]), YEAR(calls[[#This Row],[Date of Call]])+1)</f>
        <v>2023</v>
      </c>
      <c r="J584" t="str">
        <f>TEXT(calls[[#This Row],[Date of Call]],"DDDD")</f>
        <v>Tuesday</v>
      </c>
      <c r="K584" t="str" cm="1">
        <f t="array" ref="K5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4">
        <f>ROUND(calls[[#This Row],[Satisfaction Rating]],0)</f>
        <v>4</v>
      </c>
    </row>
    <row r="585" spans="2:12">
      <c r="B585" t="s">
        <v>607</v>
      </c>
      <c r="C585" t="s">
        <v>24</v>
      </c>
      <c r="D585">
        <v>80</v>
      </c>
      <c r="E585" s="17" t="s">
        <v>10</v>
      </c>
      <c r="F585" s="18">
        <v>45105</v>
      </c>
      <c r="G585">
        <v>68</v>
      </c>
      <c r="H585">
        <v>3.1</v>
      </c>
      <c r="I585">
        <f>IF(MONTH(calls[[#This Row],[Date of Call]])&lt;=6, YEAR(calls[[#This Row],[Date of Call]]), YEAR(calls[[#This Row],[Date of Call]])+1)</f>
        <v>2023</v>
      </c>
      <c r="J585" t="str">
        <f>TEXT(calls[[#This Row],[Date of Call]],"DDDD")</f>
        <v>Wednesday</v>
      </c>
      <c r="K585" t="str" cm="1">
        <f t="array" ref="K5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5">
        <f>ROUND(calls[[#This Row],[Satisfaction Rating]],0)</f>
        <v>3</v>
      </c>
    </row>
    <row r="586" spans="2:12">
      <c r="B586" t="s">
        <v>608</v>
      </c>
      <c r="C586" t="s">
        <v>17</v>
      </c>
      <c r="D586">
        <v>28</v>
      </c>
      <c r="E586" s="17" t="s">
        <v>10</v>
      </c>
      <c r="F586" s="18">
        <v>45105</v>
      </c>
      <c r="G586">
        <v>44</v>
      </c>
      <c r="H586">
        <v>2.9</v>
      </c>
      <c r="I586">
        <f>IF(MONTH(calls[[#This Row],[Date of Call]])&lt;=6, YEAR(calls[[#This Row],[Date of Call]]), YEAR(calls[[#This Row],[Date of Call]])+1)</f>
        <v>2023</v>
      </c>
      <c r="J586" t="str">
        <f>TEXT(calls[[#This Row],[Date of Call]],"DDDD")</f>
        <v>Wednesday</v>
      </c>
      <c r="K586" t="str" cm="1">
        <f t="array" ref="K58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586">
        <f>ROUND(calls[[#This Row],[Satisfaction Rating]],0)</f>
        <v>3</v>
      </c>
    </row>
    <row r="587" spans="2:12">
      <c r="B587" t="s">
        <v>609</v>
      </c>
      <c r="C587" t="s">
        <v>18</v>
      </c>
      <c r="D587">
        <v>102</v>
      </c>
      <c r="E587" s="17" t="s">
        <v>13</v>
      </c>
      <c r="F587" s="18">
        <v>45106</v>
      </c>
      <c r="G587">
        <v>99</v>
      </c>
      <c r="H587">
        <v>3.2</v>
      </c>
      <c r="I587">
        <f>IF(MONTH(calls[[#This Row],[Date of Call]])&lt;=6, YEAR(calls[[#This Row],[Date of Call]]), YEAR(calls[[#This Row],[Date of Call]])+1)</f>
        <v>2023</v>
      </c>
      <c r="J587" t="str">
        <f>TEXT(calls[[#This Row],[Date of Call]],"DDDD")</f>
        <v>Thursday</v>
      </c>
      <c r="K587" t="str" cm="1">
        <f t="array" ref="K5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7">
        <f>ROUND(calls[[#This Row],[Satisfaction Rating]],0)</f>
        <v>3</v>
      </c>
    </row>
    <row r="588" spans="2:12">
      <c r="B588" t="s">
        <v>610</v>
      </c>
      <c r="C588" t="s">
        <v>14</v>
      </c>
      <c r="D588">
        <v>60</v>
      </c>
      <c r="E588" s="17" t="s">
        <v>13</v>
      </c>
      <c r="F588" s="18">
        <v>45107</v>
      </c>
      <c r="G588">
        <v>66</v>
      </c>
      <c r="H588">
        <v>3.2</v>
      </c>
      <c r="I588">
        <f>IF(MONTH(calls[[#This Row],[Date of Call]])&lt;=6, YEAR(calls[[#This Row],[Date of Call]]), YEAR(calls[[#This Row],[Date of Call]])+1)</f>
        <v>2023</v>
      </c>
      <c r="J588" t="str">
        <f>TEXT(calls[[#This Row],[Date of Call]],"DDDD")</f>
        <v>Friday</v>
      </c>
      <c r="K588" t="str" cm="1">
        <f t="array" ref="K58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88">
        <f>ROUND(calls[[#This Row],[Satisfaction Rating]],0)</f>
        <v>3</v>
      </c>
    </row>
    <row r="589" spans="2:12">
      <c r="B589" t="s">
        <v>611</v>
      </c>
      <c r="C589" t="s">
        <v>21</v>
      </c>
      <c r="D589">
        <v>103</v>
      </c>
      <c r="E589" s="17" t="s">
        <v>13</v>
      </c>
      <c r="F589" s="18">
        <v>45107</v>
      </c>
      <c r="G589">
        <v>102</v>
      </c>
      <c r="H589">
        <v>4.5</v>
      </c>
      <c r="I589">
        <f>IF(MONTH(calls[[#This Row],[Date of Call]])&lt;=6, YEAR(calls[[#This Row],[Date of Call]]), YEAR(calls[[#This Row],[Date of Call]])+1)</f>
        <v>2023</v>
      </c>
      <c r="J589" t="str">
        <f>TEXT(calls[[#This Row],[Date of Call]],"DDDD")</f>
        <v>Friday</v>
      </c>
      <c r="K589" t="str" cm="1">
        <f t="array" ref="K5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9">
        <f>ROUND(calls[[#This Row],[Satisfaction Rating]],0)</f>
        <v>5</v>
      </c>
    </row>
    <row r="590" spans="2:12">
      <c r="B590" t="s">
        <v>612</v>
      </c>
      <c r="C590" t="s">
        <v>24</v>
      </c>
      <c r="D590">
        <v>90</v>
      </c>
      <c r="E590" s="17" t="s">
        <v>10</v>
      </c>
      <c r="F590" s="18">
        <v>45108</v>
      </c>
      <c r="G590">
        <v>129</v>
      </c>
      <c r="H590">
        <v>3.9</v>
      </c>
      <c r="I590">
        <f>IF(MONTH(calls[[#This Row],[Date of Call]])&lt;=6, YEAR(calls[[#This Row],[Date of Call]]), YEAR(calls[[#This Row],[Date of Call]])+1)</f>
        <v>2024</v>
      </c>
      <c r="J590" t="str">
        <f>TEXT(calls[[#This Row],[Date of Call]],"DDDD")</f>
        <v>Saturday</v>
      </c>
      <c r="K590" t="str" cm="1">
        <f t="array" ref="K5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0">
        <f>ROUND(calls[[#This Row],[Satisfaction Rating]],0)</f>
        <v>4</v>
      </c>
    </row>
    <row r="591" spans="2:12">
      <c r="B591" t="s">
        <v>613</v>
      </c>
      <c r="C591" t="s">
        <v>16</v>
      </c>
      <c r="D591">
        <v>88</v>
      </c>
      <c r="E591" s="17" t="s">
        <v>13</v>
      </c>
      <c r="F591" s="18">
        <v>45108</v>
      </c>
      <c r="G591">
        <v>80</v>
      </c>
      <c r="H591">
        <v>4.2</v>
      </c>
      <c r="I591">
        <f>IF(MONTH(calls[[#This Row],[Date of Call]])&lt;=6, YEAR(calls[[#This Row],[Date of Call]]), YEAR(calls[[#This Row],[Date of Call]])+1)</f>
        <v>2024</v>
      </c>
      <c r="J591" t="str">
        <f>TEXT(calls[[#This Row],[Date of Call]],"DDDD")</f>
        <v>Saturday</v>
      </c>
      <c r="K591" t="str" cm="1">
        <f t="array" ref="K5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1">
        <f>ROUND(calls[[#This Row],[Satisfaction Rating]],0)</f>
        <v>4</v>
      </c>
    </row>
    <row r="592" spans="2:12">
      <c r="B592" t="s">
        <v>614</v>
      </c>
      <c r="C592" t="s">
        <v>21</v>
      </c>
      <c r="D592">
        <v>37</v>
      </c>
      <c r="E592" s="17" t="s">
        <v>13</v>
      </c>
      <c r="F592" s="18">
        <v>45108</v>
      </c>
      <c r="G592">
        <v>54</v>
      </c>
      <c r="H592">
        <v>1.8</v>
      </c>
      <c r="I592">
        <f>IF(MONTH(calls[[#This Row],[Date of Call]])&lt;=6, YEAR(calls[[#This Row],[Date of Call]]), YEAR(calls[[#This Row],[Date of Call]])+1)</f>
        <v>2024</v>
      </c>
      <c r="J592" t="str">
        <f>TEXT(calls[[#This Row],[Date of Call]],"DDDD")</f>
        <v>Saturday</v>
      </c>
      <c r="K592" t="str" cm="1">
        <f t="array" ref="K59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92">
        <f>ROUND(calls[[#This Row],[Satisfaction Rating]],0)</f>
        <v>2</v>
      </c>
    </row>
    <row r="593" spans="2:12">
      <c r="B593" t="s">
        <v>615</v>
      </c>
      <c r="C593" t="s">
        <v>17</v>
      </c>
      <c r="D593">
        <v>142</v>
      </c>
      <c r="E593" s="17" t="s">
        <v>10</v>
      </c>
      <c r="F593" s="18">
        <v>45108</v>
      </c>
      <c r="G593">
        <v>116</v>
      </c>
      <c r="H593">
        <v>4.2</v>
      </c>
      <c r="I593">
        <f>IF(MONTH(calls[[#This Row],[Date of Call]])&lt;=6, YEAR(calls[[#This Row],[Date of Call]]), YEAR(calls[[#This Row],[Date of Call]])+1)</f>
        <v>2024</v>
      </c>
      <c r="J593" t="str">
        <f>TEXT(calls[[#This Row],[Date of Call]],"DDDD")</f>
        <v>Saturday</v>
      </c>
      <c r="K593" t="str" cm="1">
        <f t="array" ref="K59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3">
        <f>ROUND(calls[[#This Row],[Satisfaction Rating]],0)</f>
        <v>4</v>
      </c>
    </row>
    <row r="594" spans="2:12">
      <c r="B594" t="s">
        <v>616</v>
      </c>
      <c r="C594" t="s">
        <v>17</v>
      </c>
      <c r="D594">
        <v>153</v>
      </c>
      <c r="E594" s="17" t="s">
        <v>11</v>
      </c>
      <c r="F594" s="18">
        <v>45108</v>
      </c>
      <c r="G594">
        <v>102</v>
      </c>
      <c r="H594">
        <v>3.1</v>
      </c>
      <c r="I594">
        <f>IF(MONTH(calls[[#This Row],[Date of Call]])&lt;=6, YEAR(calls[[#This Row],[Date of Call]]), YEAR(calls[[#This Row],[Date of Call]])+1)</f>
        <v>2024</v>
      </c>
      <c r="J594" t="str">
        <f>TEXT(calls[[#This Row],[Date of Call]],"DDDD")</f>
        <v>Saturday</v>
      </c>
      <c r="K594" t="str" cm="1">
        <f t="array" ref="K5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4">
        <f>ROUND(calls[[#This Row],[Satisfaction Rating]],0)</f>
        <v>3</v>
      </c>
    </row>
    <row r="595" spans="2:12">
      <c r="B595" t="s">
        <v>617</v>
      </c>
      <c r="C595" t="s">
        <v>7</v>
      </c>
      <c r="D595">
        <v>128</v>
      </c>
      <c r="E595" s="17" t="s">
        <v>9</v>
      </c>
      <c r="F595" s="18">
        <v>45108</v>
      </c>
      <c r="G595">
        <v>140</v>
      </c>
      <c r="H595">
        <v>4.3</v>
      </c>
      <c r="I595">
        <f>IF(MONTH(calls[[#This Row],[Date of Call]])&lt;=6, YEAR(calls[[#This Row],[Date of Call]]), YEAR(calls[[#This Row],[Date of Call]])+1)</f>
        <v>2024</v>
      </c>
      <c r="J595" t="str">
        <f>TEXT(calls[[#This Row],[Date of Call]],"DDDD")</f>
        <v>Saturday</v>
      </c>
      <c r="K595" t="str" cm="1">
        <f t="array" ref="K59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5">
        <f>ROUND(calls[[#This Row],[Satisfaction Rating]],0)</f>
        <v>4</v>
      </c>
    </row>
    <row r="596" spans="2:12">
      <c r="B596" t="s">
        <v>618</v>
      </c>
      <c r="C596" t="s">
        <v>14</v>
      </c>
      <c r="D596">
        <v>110</v>
      </c>
      <c r="E596" s="17" t="s">
        <v>9</v>
      </c>
      <c r="F596" s="18">
        <v>45109</v>
      </c>
      <c r="G596">
        <v>104</v>
      </c>
      <c r="H596">
        <v>4.4000000000000004</v>
      </c>
      <c r="I596">
        <f>IF(MONTH(calls[[#This Row],[Date of Call]])&lt;=6, YEAR(calls[[#This Row],[Date of Call]]), YEAR(calls[[#This Row],[Date of Call]])+1)</f>
        <v>2024</v>
      </c>
      <c r="J596" t="str">
        <f>TEXT(calls[[#This Row],[Date of Call]],"DDDD")</f>
        <v>Sunday</v>
      </c>
      <c r="K596" t="str" cm="1">
        <f t="array" ref="K5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6">
        <f>ROUND(calls[[#This Row],[Satisfaction Rating]],0)</f>
        <v>4</v>
      </c>
    </row>
    <row r="597" spans="2:12">
      <c r="B597" t="s">
        <v>619</v>
      </c>
      <c r="C597" t="s">
        <v>7</v>
      </c>
      <c r="D597">
        <v>139</v>
      </c>
      <c r="E597" s="17" t="s">
        <v>13</v>
      </c>
      <c r="F597" s="18">
        <v>45109</v>
      </c>
      <c r="G597">
        <v>81</v>
      </c>
      <c r="H597">
        <v>4.4000000000000004</v>
      </c>
      <c r="I597">
        <f>IF(MONTH(calls[[#This Row],[Date of Call]])&lt;=6, YEAR(calls[[#This Row],[Date of Call]]), YEAR(calls[[#This Row],[Date of Call]])+1)</f>
        <v>2024</v>
      </c>
      <c r="J597" t="str">
        <f>TEXT(calls[[#This Row],[Date of Call]],"DDDD")</f>
        <v>Sunday</v>
      </c>
      <c r="K597" t="str" cm="1">
        <f t="array" ref="K59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7">
        <f>ROUND(calls[[#This Row],[Satisfaction Rating]],0)</f>
        <v>4</v>
      </c>
    </row>
    <row r="598" spans="2:12">
      <c r="B598" t="s">
        <v>620</v>
      </c>
      <c r="C598" t="s">
        <v>18</v>
      </c>
      <c r="D598">
        <v>109</v>
      </c>
      <c r="E598" s="17" t="s">
        <v>6</v>
      </c>
      <c r="F598" s="18">
        <v>45111</v>
      </c>
      <c r="G598">
        <v>140</v>
      </c>
      <c r="H598">
        <v>2.4</v>
      </c>
      <c r="I598">
        <f>IF(MONTH(calls[[#This Row],[Date of Call]])&lt;=6, YEAR(calls[[#This Row],[Date of Call]]), YEAR(calls[[#This Row],[Date of Call]])+1)</f>
        <v>2024</v>
      </c>
      <c r="J598" t="str">
        <f>TEXT(calls[[#This Row],[Date of Call]],"DDDD")</f>
        <v>Tuesday</v>
      </c>
      <c r="K598" t="str" cm="1">
        <f t="array" ref="K5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8">
        <f>ROUND(calls[[#This Row],[Satisfaction Rating]],0)</f>
        <v>2</v>
      </c>
    </row>
    <row r="599" spans="2:12">
      <c r="B599" t="s">
        <v>621</v>
      </c>
      <c r="C599" t="s">
        <v>12</v>
      </c>
      <c r="D599">
        <v>57</v>
      </c>
      <c r="E599" s="17" t="s">
        <v>10</v>
      </c>
      <c r="F599" s="18">
        <v>45112</v>
      </c>
      <c r="G599">
        <v>120</v>
      </c>
      <c r="H599">
        <v>3.5</v>
      </c>
      <c r="I599">
        <f>IF(MONTH(calls[[#This Row],[Date of Call]])&lt;=6, YEAR(calls[[#This Row],[Date of Call]]), YEAR(calls[[#This Row],[Date of Call]])+1)</f>
        <v>2024</v>
      </c>
      <c r="J599" t="str">
        <f>TEXT(calls[[#This Row],[Date of Call]],"DDDD")</f>
        <v>Wednesday</v>
      </c>
      <c r="K599" t="str" cm="1">
        <f t="array" ref="K5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99">
        <f>ROUND(calls[[#This Row],[Satisfaction Rating]],0)</f>
        <v>4</v>
      </c>
    </row>
    <row r="600" spans="2:12">
      <c r="B600" t="s">
        <v>622</v>
      </c>
      <c r="C600" t="s">
        <v>18</v>
      </c>
      <c r="D600">
        <v>68</v>
      </c>
      <c r="E600" s="17" t="s">
        <v>13</v>
      </c>
      <c r="F600" s="18">
        <v>45112</v>
      </c>
      <c r="G600">
        <v>41</v>
      </c>
      <c r="H600">
        <v>3.1</v>
      </c>
      <c r="I600">
        <f>IF(MONTH(calls[[#This Row],[Date of Call]])&lt;=6, YEAR(calls[[#This Row],[Date of Call]]), YEAR(calls[[#This Row],[Date of Call]])+1)</f>
        <v>2024</v>
      </c>
      <c r="J600" t="str">
        <f>TEXT(calls[[#This Row],[Date of Call]],"DDDD")</f>
        <v>Wednesday</v>
      </c>
      <c r="K600" t="str" cm="1">
        <f t="array" ref="K6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0">
        <f>ROUND(calls[[#This Row],[Satisfaction Rating]],0)</f>
        <v>3</v>
      </c>
    </row>
    <row r="601" spans="2:12">
      <c r="B601" t="s">
        <v>623</v>
      </c>
      <c r="C601" t="s">
        <v>8</v>
      </c>
      <c r="D601">
        <v>128</v>
      </c>
      <c r="E601" s="17" t="s">
        <v>13</v>
      </c>
      <c r="F601" s="18">
        <v>45112</v>
      </c>
      <c r="G601">
        <v>116</v>
      </c>
      <c r="H601">
        <v>2.2999999999999998</v>
      </c>
      <c r="I601">
        <f>IF(MONTH(calls[[#This Row],[Date of Call]])&lt;=6, YEAR(calls[[#This Row],[Date of Call]]), YEAR(calls[[#This Row],[Date of Call]])+1)</f>
        <v>2024</v>
      </c>
      <c r="J601" t="str">
        <f>TEXT(calls[[#This Row],[Date of Call]],"DDDD")</f>
        <v>Wednesday</v>
      </c>
      <c r="K601" t="str" cm="1">
        <f t="array" ref="K60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01">
        <f>ROUND(calls[[#This Row],[Satisfaction Rating]],0)</f>
        <v>2</v>
      </c>
    </row>
    <row r="602" spans="2:12">
      <c r="B602" t="s">
        <v>624</v>
      </c>
      <c r="C602" t="s">
        <v>20</v>
      </c>
      <c r="D602">
        <v>102</v>
      </c>
      <c r="E602" s="17" t="s">
        <v>10</v>
      </c>
      <c r="F602" s="18">
        <v>45113</v>
      </c>
      <c r="G602">
        <v>70</v>
      </c>
      <c r="H602">
        <v>2.8</v>
      </c>
      <c r="I602">
        <f>IF(MONTH(calls[[#This Row],[Date of Call]])&lt;=6, YEAR(calls[[#This Row],[Date of Call]]), YEAR(calls[[#This Row],[Date of Call]])+1)</f>
        <v>2024</v>
      </c>
      <c r="J602" t="str">
        <f>TEXT(calls[[#This Row],[Date of Call]],"DDDD")</f>
        <v>Thursday</v>
      </c>
      <c r="K602" t="str" cm="1">
        <f t="array" ref="K6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2">
        <f>ROUND(calls[[#This Row],[Satisfaction Rating]],0)</f>
        <v>3</v>
      </c>
    </row>
    <row r="603" spans="2:12">
      <c r="B603" t="s">
        <v>625</v>
      </c>
      <c r="C603" t="s">
        <v>7</v>
      </c>
      <c r="D603">
        <v>52</v>
      </c>
      <c r="E603" s="17" t="s">
        <v>11</v>
      </c>
      <c r="F603" s="18">
        <v>45113</v>
      </c>
      <c r="G603">
        <v>42</v>
      </c>
      <c r="H603">
        <v>4.5</v>
      </c>
      <c r="I603">
        <f>IF(MONTH(calls[[#This Row],[Date of Call]])&lt;=6, YEAR(calls[[#This Row],[Date of Call]]), YEAR(calls[[#This Row],[Date of Call]])+1)</f>
        <v>2024</v>
      </c>
      <c r="J603" t="str">
        <f>TEXT(calls[[#This Row],[Date of Call]],"DDDD")</f>
        <v>Thursday</v>
      </c>
      <c r="K603" t="str" cm="1">
        <f t="array" ref="K60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3">
        <f>ROUND(calls[[#This Row],[Satisfaction Rating]],0)</f>
        <v>5</v>
      </c>
    </row>
    <row r="604" spans="2:12">
      <c r="B604" t="s">
        <v>626</v>
      </c>
      <c r="C604" t="s">
        <v>8</v>
      </c>
      <c r="D604">
        <v>55</v>
      </c>
      <c r="E604" s="17" t="s">
        <v>9</v>
      </c>
      <c r="F604" s="18">
        <v>45114</v>
      </c>
      <c r="G604">
        <v>112</v>
      </c>
      <c r="H604">
        <v>4.5</v>
      </c>
      <c r="I604">
        <f>IF(MONTH(calls[[#This Row],[Date of Call]])&lt;=6, YEAR(calls[[#This Row],[Date of Call]]), YEAR(calls[[#This Row],[Date of Call]])+1)</f>
        <v>2024</v>
      </c>
      <c r="J604" t="str">
        <f>TEXT(calls[[#This Row],[Date of Call]],"DDDD")</f>
        <v>Friday</v>
      </c>
      <c r="K604" t="str" cm="1">
        <f t="array" ref="K60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4">
        <f>ROUND(calls[[#This Row],[Satisfaction Rating]],0)</f>
        <v>5</v>
      </c>
    </row>
    <row r="605" spans="2:12">
      <c r="B605" t="s">
        <v>627</v>
      </c>
      <c r="C605" t="s">
        <v>21</v>
      </c>
      <c r="D605">
        <v>107</v>
      </c>
      <c r="E605" s="17" t="s">
        <v>13</v>
      </c>
      <c r="F605" s="18">
        <v>45114</v>
      </c>
      <c r="G605">
        <v>20</v>
      </c>
      <c r="H605">
        <v>4.5</v>
      </c>
      <c r="I605">
        <f>IF(MONTH(calls[[#This Row],[Date of Call]])&lt;=6, YEAR(calls[[#This Row],[Date of Call]]), YEAR(calls[[#This Row],[Date of Call]])+1)</f>
        <v>2024</v>
      </c>
      <c r="J605" t="str">
        <f>TEXT(calls[[#This Row],[Date of Call]],"DDDD")</f>
        <v>Friday</v>
      </c>
      <c r="K605" t="str" cm="1">
        <f t="array" ref="K60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5">
        <f>ROUND(calls[[#This Row],[Satisfaction Rating]],0)</f>
        <v>5</v>
      </c>
    </row>
    <row r="606" spans="2:12">
      <c r="B606" t="s">
        <v>628</v>
      </c>
      <c r="C606" t="s">
        <v>24</v>
      </c>
      <c r="D606">
        <v>88</v>
      </c>
      <c r="E606" s="17" t="s">
        <v>11</v>
      </c>
      <c r="F606" s="18">
        <v>45115</v>
      </c>
      <c r="G606">
        <v>110</v>
      </c>
      <c r="H606">
        <v>4.8</v>
      </c>
      <c r="I606">
        <f>IF(MONTH(calls[[#This Row],[Date of Call]])&lt;=6, YEAR(calls[[#This Row],[Date of Call]]), YEAR(calls[[#This Row],[Date of Call]])+1)</f>
        <v>2024</v>
      </c>
      <c r="J606" t="str">
        <f>TEXT(calls[[#This Row],[Date of Call]],"DDDD")</f>
        <v>Saturday</v>
      </c>
      <c r="K606" t="str" cm="1">
        <f t="array" ref="K6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6">
        <f>ROUND(calls[[#This Row],[Satisfaction Rating]],0)</f>
        <v>5</v>
      </c>
    </row>
    <row r="607" spans="2:12">
      <c r="B607" t="s">
        <v>629</v>
      </c>
      <c r="C607" t="s">
        <v>15</v>
      </c>
      <c r="D607">
        <v>49</v>
      </c>
      <c r="E607" s="17" t="s">
        <v>11</v>
      </c>
      <c r="F607" s="18">
        <v>45115</v>
      </c>
      <c r="G607">
        <v>39</v>
      </c>
      <c r="H607">
        <v>4.5999999999999996</v>
      </c>
      <c r="I607">
        <f>IF(MONTH(calls[[#This Row],[Date of Call]])&lt;=6, YEAR(calls[[#This Row],[Date of Call]]), YEAR(calls[[#This Row],[Date of Call]])+1)</f>
        <v>2024</v>
      </c>
      <c r="J607" t="str">
        <f>TEXT(calls[[#This Row],[Date of Call]],"DDDD")</f>
        <v>Saturday</v>
      </c>
      <c r="K607" t="str" cm="1">
        <f t="array" ref="K60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7">
        <f>ROUND(calls[[#This Row],[Satisfaction Rating]],0)</f>
        <v>5</v>
      </c>
    </row>
    <row r="608" spans="2:12">
      <c r="B608" t="s">
        <v>630</v>
      </c>
      <c r="C608" t="s">
        <v>24</v>
      </c>
      <c r="D608">
        <v>72</v>
      </c>
      <c r="E608" s="17" t="s">
        <v>10</v>
      </c>
      <c r="F608" s="18">
        <v>45115</v>
      </c>
      <c r="G608">
        <v>76</v>
      </c>
      <c r="H608">
        <v>4.5</v>
      </c>
      <c r="I608">
        <f>IF(MONTH(calls[[#This Row],[Date of Call]])&lt;=6, YEAR(calls[[#This Row],[Date of Call]]), YEAR(calls[[#This Row],[Date of Call]])+1)</f>
        <v>2024</v>
      </c>
      <c r="J608" t="str">
        <f>TEXT(calls[[#This Row],[Date of Call]],"DDDD")</f>
        <v>Saturday</v>
      </c>
      <c r="K608" t="str" cm="1">
        <f t="array" ref="K6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8">
        <f>ROUND(calls[[#This Row],[Satisfaction Rating]],0)</f>
        <v>5</v>
      </c>
    </row>
    <row r="609" spans="2:12">
      <c r="B609" t="s">
        <v>631</v>
      </c>
      <c r="C609" t="s">
        <v>12</v>
      </c>
      <c r="D609">
        <v>50</v>
      </c>
      <c r="E609" s="17" t="s">
        <v>10</v>
      </c>
      <c r="F609" s="18">
        <v>45115</v>
      </c>
      <c r="G609">
        <v>40</v>
      </c>
      <c r="H609">
        <v>5</v>
      </c>
      <c r="I609">
        <f>IF(MONTH(calls[[#This Row],[Date of Call]])&lt;=6, YEAR(calls[[#This Row],[Date of Call]]), YEAR(calls[[#This Row],[Date of Call]])+1)</f>
        <v>2024</v>
      </c>
      <c r="J609" t="str">
        <f>TEXT(calls[[#This Row],[Date of Call]],"DDDD")</f>
        <v>Saturday</v>
      </c>
      <c r="K609" t="str" cm="1">
        <f t="array" ref="K60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9">
        <f>ROUND(calls[[#This Row],[Satisfaction Rating]],0)</f>
        <v>5</v>
      </c>
    </row>
    <row r="610" spans="2:12">
      <c r="B610" t="s">
        <v>632</v>
      </c>
      <c r="C610" t="s">
        <v>24</v>
      </c>
      <c r="D610">
        <v>52</v>
      </c>
      <c r="E610" s="17" t="s">
        <v>13</v>
      </c>
      <c r="F610" s="18">
        <v>45115</v>
      </c>
      <c r="G610">
        <v>42</v>
      </c>
      <c r="H610">
        <v>4.8</v>
      </c>
      <c r="I610">
        <f>IF(MONTH(calls[[#This Row],[Date of Call]])&lt;=6, YEAR(calls[[#This Row],[Date of Call]]), YEAR(calls[[#This Row],[Date of Call]])+1)</f>
        <v>2024</v>
      </c>
      <c r="J610" t="str">
        <f>TEXT(calls[[#This Row],[Date of Call]],"DDDD")</f>
        <v>Saturday</v>
      </c>
      <c r="K610" t="str" cm="1">
        <f t="array" ref="K61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10">
        <f>ROUND(calls[[#This Row],[Satisfaction Rating]],0)</f>
        <v>5</v>
      </c>
    </row>
    <row r="611" spans="2:12">
      <c r="B611" t="s">
        <v>633</v>
      </c>
      <c r="C611" t="s">
        <v>23</v>
      </c>
      <c r="D611">
        <v>85</v>
      </c>
      <c r="E611" s="17" t="s">
        <v>6</v>
      </c>
      <c r="F611" s="18">
        <v>45116</v>
      </c>
      <c r="G611">
        <v>215</v>
      </c>
      <c r="H611">
        <v>3.5</v>
      </c>
      <c r="I611">
        <f>IF(MONTH(calls[[#This Row],[Date of Call]])&lt;=6, YEAR(calls[[#This Row],[Date of Call]]), YEAR(calls[[#This Row],[Date of Call]])+1)</f>
        <v>2024</v>
      </c>
      <c r="J611" t="str">
        <f>TEXT(calls[[#This Row],[Date of Call]],"DDDD")</f>
        <v>Sunday</v>
      </c>
      <c r="K611" t="str" cm="1">
        <f t="array" ref="K6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1">
        <f>ROUND(calls[[#This Row],[Satisfaction Rating]],0)</f>
        <v>4</v>
      </c>
    </row>
    <row r="612" spans="2:12">
      <c r="B612" t="s">
        <v>634</v>
      </c>
      <c r="C612" t="s">
        <v>22</v>
      </c>
      <c r="D612">
        <v>98</v>
      </c>
      <c r="E612" s="17" t="s">
        <v>6</v>
      </c>
      <c r="F612" s="18">
        <v>45117</v>
      </c>
      <c r="G612">
        <v>130</v>
      </c>
      <c r="H612">
        <v>3.4</v>
      </c>
      <c r="I612">
        <f>IF(MONTH(calls[[#This Row],[Date of Call]])&lt;=6, YEAR(calls[[#This Row],[Date of Call]]), YEAR(calls[[#This Row],[Date of Call]])+1)</f>
        <v>2024</v>
      </c>
      <c r="J612" t="str">
        <f>TEXT(calls[[#This Row],[Date of Call]],"DDDD")</f>
        <v>Monday</v>
      </c>
      <c r="K612" t="str" cm="1">
        <f t="array" ref="K6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2">
        <f>ROUND(calls[[#This Row],[Satisfaction Rating]],0)</f>
        <v>3</v>
      </c>
    </row>
    <row r="613" spans="2:12">
      <c r="B613" t="s">
        <v>635</v>
      </c>
      <c r="C613" t="s">
        <v>19</v>
      </c>
      <c r="D613">
        <v>52</v>
      </c>
      <c r="E613" s="17" t="s">
        <v>6</v>
      </c>
      <c r="F613" s="18">
        <v>45117</v>
      </c>
      <c r="G613">
        <v>190</v>
      </c>
      <c r="H613">
        <v>3.3</v>
      </c>
      <c r="I613">
        <f>IF(MONTH(calls[[#This Row],[Date of Call]])&lt;=6, YEAR(calls[[#This Row],[Date of Call]]), YEAR(calls[[#This Row],[Date of Call]])+1)</f>
        <v>2024</v>
      </c>
      <c r="J613" t="str">
        <f>TEXT(calls[[#This Row],[Date of Call]],"DDDD")</f>
        <v>Monday</v>
      </c>
      <c r="K613" t="str" cm="1">
        <f t="array" ref="K61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13">
        <f>ROUND(calls[[#This Row],[Satisfaction Rating]],0)</f>
        <v>3</v>
      </c>
    </row>
    <row r="614" spans="2:12">
      <c r="B614" t="s">
        <v>636</v>
      </c>
      <c r="C614" t="s">
        <v>8</v>
      </c>
      <c r="D614">
        <v>154</v>
      </c>
      <c r="E614" s="17" t="s">
        <v>11</v>
      </c>
      <c r="F614" s="18">
        <v>45117</v>
      </c>
      <c r="G614">
        <v>164</v>
      </c>
      <c r="H614">
        <v>4.9000000000000004</v>
      </c>
      <c r="I614">
        <f>IF(MONTH(calls[[#This Row],[Date of Call]])&lt;=6, YEAR(calls[[#This Row],[Date of Call]]), YEAR(calls[[#This Row],[Date of Call]])+1)</f>
        <v>2024</v>
      </c>
      <c r="J614" t="str">
        <f>TEXT(calls[[#This Row],[Date of Call]],"DDDD")</f>
        <v>Monday</v>
      </c>
      <c r="K614" t="str" cm="1">
        <f t="array" ref="K6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14">
        <f>ROUND(calls[[#This Row],[Satisfaction Rating]],0)</f>
        <v>5</v>
      </c>
    </row>
    <row r="615" spans="2:12">
      <c r="B615" t="s">
        <v>637</v>
      </c>
      <c r="C615" t="s">
        <v>5</v>
      </c>
      <c r="D615">
        <v>131</v>
      </c>
      <c r="E615" s="17" t="s">
        <v>9</v>
      </c>
      <c r="F615" s="18">
        <v>45118</v>
      </c>
      <c r="G615">
        <v>76</v>
      </c>
      <c r="H615">
        <v>4.5</v>
      </c>
      <c r="I615">
        <f>IF(MONTH(calls[[#This Row],[Date of Call]])&lt;=6, YEAR(calls[[#This Row],[Date of Call]]), YEAR(calls[[#This Row],[Date of Call]])+1)</f>
        <v>2024</v>
      </c>
      <c r="J615" t="str">
        <f>TEXT(calls[[#This Row],[Date of Call]],"DDDD")</f>
        <v>Tuesday</v>
      </c>
      <c r="K615" t="str" cm="1">
        <f t="array" ref="K61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15">
        <f>ROUND(calls[[#This Row],[Satisfaction Rating]],0)</f>
        <v>5</v>
      </c>
    </row>
    <row r="616" spans="2:12">
      <c r="B616" t="s">
        <v>638</v>
      </c>
      <c r="C616" t="s">
        <v>23</v>
      </c>
      <c r="D616">
        <v>73</v>
      </c>
      <c r="E616" s="17" t="s">
        <v>9</v>
      </c>
      <c r="F616" s="18">
        <v>45119</v>
      </c>
      <c r="G616">
        <v>87</v>
      </c>
      <c r="H616">
        <v>4.8</v>
      </c>
      <c r="I616">
        <f>IF(MONTH(calls[[#This Row],[Date of Call]])&lt;=6, YEAR(calls[[#This Row],[Date of Call]]), YEAR(calls[[#This Row],[Date of Call]])+1)</f>
        <v>2024</v>
      </c>
      <c r="J616" t="str">
        <f>TEXT(calls[[#This Row],[Date of Call]],"DDDD")</f>
        <v>Wednesday</v>
      </c>
      <c r="K616" t="str" cm="1">
        <f t="array" ref="K6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6">
        <f>ROUND(calls[[#This Row],[Satisfaction Rating]],0)</f>
        <v>5</v>
      </c>
    </row>
    <row r="617" spans="2:12">
      <c r="B617" t="s">
        <v>639</v>
      </c>
      <c r="C617" t="s">
        <v>14</v>
      </c>
      <c r="D617">
        <v>45</v>
      </c>
      <c r="E617" s="17" t="s">
        <v>6</v>
      </c>
      <c r="F617" s="18">
        <v>45119</v>
      </c>
      <c r="G617">
        <v>84</v>
      </c>
      <c r="H617">
        <v>4.8</v>
      </c>
      <c r="I617">
        <f>IF(MONTH(calls[[#This Row],[Date of Call]])&lt;=6, YEAR(calls[[#This Row],[Date of Call]]), YEAR(calls[[#This Row],[Date of Call]])+1)</f>
        <v>2024</v>
      </c>
      <c r="J617" t="str">
        <f>TEXT(calls[[#This Row],[Date of Call]],"DDDD")</f>
        <v>Wednesday</v>
      </c>
      <c r="K617" t="str" cm="1">
        <f t="array" ref="K61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17">
        <f>ROUND(calls[[#This Row],[Satisfaction Rating]],0)</f>
        <v>5</v>
      </c>
    </row>
    <row r="618" spans="2:12">
      <c r="B618" t="s">
        <v>640</v>
      </c>
      <c r="C618" t="s">
        <v>7</v>
      </c>
      <c r="D618">
        <v>114</v>
      </c>
      <c r="E618" s="17" t="s">
        <v>13</v>
      </c>
      <c r="F618" s="18">
        <v>45119</v>
      </c>
      <c r="G618">
        <v>114</v>
      </c>
      <c r="H618">
        <v>3.9</v>
      </c>
      <c r="I618">
        <f>IF(MONTH(calls[[#This Row],[Date of Call]])&lt;=6, YEAR(calls[[#This Row],[Date of Call]]), YEAR(calls[[#This Row],[Date of Call]])+1)</f>
        <v>2024</v>
      </c>
      <c r="J618" t="str">
        <f>TEXT(calls[[#This Row],[Date of Call]],"DDDD")</f>
        <v>Wednesday</v>
      </c>
      <c r="K618" t="str" cm="1">
        <f t="array" ref="K61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8">
        <f>ROUND(calls[[#This Row],[Satisfaction Rating]],0)</f>
        <v>4</v>
      </c>
    </row>
    <row r="619" spans="2:12">
      <c r="B619" t="s">
        <v>641</v>
      </c>
      <c r="C619" t="s">
        <v>22</v>
      </c>
      <c r="D619">
        <v>69</v>
      </c>
      <c r="E619" s="17" t="s">
        <v>9</v>
      </c>
      <c r="F619" s="18">
        <v>45120</v>
      </c>
      <c r="G619">
        <v>56</v>
      </c>
      <c r="H619">
        <v>3.9</v>
      </c>
      <c r="I619">
        <f>IF(MONTH(calls[[#This Row],[Date of Call]])&lt;=6, YEAR(calls[[#This Row],[Date of Call]]), YEAR(calls[[#This Row],[Date of Call]])+1)</f>
        <v>2024</v>
      </c>
      <c r="J619" t="str">
        <f>TEXT(calls[[#This Row],[Date of Call]],"DDDD")</f>
        <v>Thursday</v>
      </c>
      <c r="K619" t="str" cm="1">
        <f t="array" ref="K6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9">
        <f>ROUND(calls[[#This Row],[Satisfaction Rating]],0)</f>
        <v>4</v>
      </c>
    </row>
    <row r="620" spans="2:12">
      <c r="B620" t="s">
        <v>642</v>
      </c>
      <c r="C620" t="s">
        <v>5</v>
      </c>
      <c r="D620">
        <v>33</v>
      </c>
      <c r="E620" s="17" t="s">
        <v>11</v>
      </c>
      <c r="F620" s="18">
        <v>45120</v>
      </c>
      <c r="G620">
        <v>27</v>
      </c>
      <c r="H620">
        <v>3.7</v>
      </c>
      <c r="I620">
        <f>IF(MONTH(calls[[#This Row],[Date of Call]])&lt;=6, YEAR(calls[[#This Row],[Date of Call]]), YEAR(calls[[#This Row],[Date of Call]])+1)</f>
        <v>2024</v>
      </c>
      <c r="J620" t="str">
        <f>TEXT(calls[[#This Row],[Date of Call]],"DDDD")</f>
        <v>Thursday</v>
      </c>
      <c r="K620" t="str" cm="1">
        <f t="array" ref="K62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20">
        <f>ROUND(calls[[#This Row],[Satisfaction Rating]],0)</f>
        <v>4</v>
      </c>
    </row>
    <row r="621" spans="2:12">
      <c r="B621" t="s">
        <v>643</v>
      </c>
      <c r="C621" t="s">
        <v>12</v>
      </c>
      <c r="D621">
        <v>31</v>
      </c>
      <c r="E621" s="17" t="s">
        <v>10</v>
      </c>
      <c r="F621" s="18">
        <v>45121</v>
      </c>
      <c r="G621">
        <v>84</v>
      </c>
      <c r="H621">
        <v>4.8</v>
      </c>
      <c r="I621">
        <f>IF(MONTH(calls[[#This Row],[Date of Call]])&lt;=6, YEAR(calls[[#This Row],[Date of Call]]), YEAR(calls[[#This Row],[Date of Call]])+1)</f>
        <v>2024</v>
      </c>
      <c r="J621" t="str">
        <f>TEXT(calls[[#This Row],[Date of Call]],"DDDD")</f>
        <v>Friday</v>
      </c>
      <c r="K621" t="str" cm="1">
        <f t="array" ref="K62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21">
        <f>ROUND(calls[[#This Row],[Satisfaction Rating]],0)</f>
        <v>5</v>
      </c>
    </row>
    <row r="622" spans="2:12">
      <c r="B622" t="s">
        <v>644</v>
      </c>
      <c r="C622" t="s">
        <v>14</v>
      </c>
      <c r="D622">
        <v>168</v>
      </c>
      <c r="E622" s="17" t="s">
        <v>11</v>
      </c>
      <c r="F622" s="18">
        <v>45121</v>
      </c>
      <c r="G622">
        <v>72</v>
      </c>
      <c r="H622">
        <v>3.5</v>
      </c>
      <c r="I622">
        <f>IF(MONTH(calls[[#This Row],[Date of Call]])&lt;=6, YEAR(calls[[#This Row],[Date of Call]]), YEAR(calls[[#This Row],[Date of Call]])+1)</f>
        <v>2024</v>
      </c>
      <c r="J622" t="str">
        <f>TEXT(calls[[#This Row],[Date of Call]],"DDDD")</f>
        <v>Friday</v>
      </c>
      <c r="K622" t="str" cm="1">
        <f t="array" ref="K62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22">
        <f>ROUND(calls[[#This Row],[Satisfaction Rating]],0)</f>
        <v>4</v>
      </c>
    </row>
    <row r="623" spans="2:12">
      <c r="B623" t="s">
        <v>645</v>
      </c>
      <c r="C623" t="s">
        <v>23</v>
      </c>
      <c r="D623">
        <v>111</v>
      </c>
      <c r="E623" s="17" t="s">
        <v>13</v>
      </c>
      <c r="F623" s="18">
        <v>45122</v>
      </c>
      <c r="G623">
        <v>126</v>
      </c>
      <c r="H623">
        <v>4.2</v>
      </c>
      <c r="I623">
        <f>IF(MONTH(calls[[#This Row],[Date of Call]])&lt;=6, YEAR(calls[[#This Row],[Date of Call]]), YEAR(calls[[#This Row],[Date of Call]])+1)</f>
        <v>2024</v>
      </c>
      <c r="J623" t="str">
        <f>TEXT(calls[[#This Row],[Date of Call]],"DDDD")</f>
        <v>Saturday</v>
      </c>
      <c r="K623" t="str" cm="1">
        <f t="array" ref="K6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3">
        <f>ROUND(calls[[#This Row],[Satisfaction Rating]],0)</f>
        <v>4</v>
      </c>
    </row>
    <row r="624" spans="2:12">
      <c r="B624" t="s">
        <v>646</v>
      </c>
      <c r="C624" t="s">
        <v>12</v>
      </c>
      <c r="D624">
        <v>80</v>
      </c>
      <c r="E624" s="17" t="s">
        <v>11</v>
      </c>
      <c r="F624" s="18">
        <v>45123</v>
      </c>
      <c r="G624">
        <v>88</v>
      </c>
      <c r="H624">
        <v>4.9000000000000004</v>
      </c>
      <c r="I624">
        <f>IF(MONTH(calls[[#This Row],[Date of Call]])&lt;=6, YEAR(calls[[#This Row],[Date of Call]]), YEAR(calls[[#This Row],[Date of Call]])+1)</f>
        <v>2024</v>
      </c>
      <c r="J624" t="str">
        <f>TEXT(calls[[#This Row],[Date of Call]],"DDDD")</f>
        <v>Sunday</v>
      </c>
      <c r="K624" t="str" cm="1">
        <f t="array" ref="K62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4">
        <f>ROUND(calls[[#This Row],[Satisfaction Rating]],0)</f>
        <v>5</v>
      </c>
    </row>
    <row r="625" spans="2:12">
      <c r="B625" t="s">
        <v>647</v>
      </c>
      <c r="C625" t="s">
        <v>20</v>
      </c>
      <c r="D625">
        <v>37</v>
      </c>
      <c r="E625" s="17" t="s">
        <v>11</v>
      </c>
      <c r="F625" s="18">
        <v>45123</v>
      </c>
      <c r="G625">
        <v>124</v>
      </c>
      <c r="H625">
        <v>4.5999999999999996</v>
      </c>
      <c r="I625">
        <f>IF(MONTH(calls[[#This Row],[Date of Call]])&lt;=6, YEAR(calls[[#This Row],[Date of Call]]), YEAR(calls[[#This Row],[Date of Call]])+1)</f>
        <v>2024</v>
      </c>
      <c r="J625" t="str">
        <f>TEXT(calls[[#This Row],[Date of Call]],"DDDD")</f>
        <v>Sunday</v>
      </c>
      <c r="K625" t="str" cm="1">
        <f t="array" ref="K62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25">
        <f>ROUND(calls[[#This Row],[Satisfaction Rating]],0)</f>
        <v>5</v>
      </c>
    </row>
    <row r="626" spans="2:12">
      <c r="B626" t="s">
        <v>648</v>
      </c>
      <c r="C626" t="s">
        <v>17</v>
      </c>
      <c r="D626">
        <v>137</v>
      </c>
      <c r="E626" s="17" t="s">
        <v>11</v>
      </c>
      <c r="F626" s="18">
        <v>45124</v>
      </c>
      <c r="G626">
        <v>84</v>
      </c>
      <c r="H626">
        <v>2.6</v>
      </c>
      <c r="I626">
        <f>IF(MONTH(calls[[#This Row],[Date of Call]])&lt;=6, YEAR(calls[[#This Row],[Date of Call]]), YEAR(calls[[#This Row],[Date of Call]])+1)</f>
        <v>2024</v>
      </c>
      <c r="J626" t="str">
        <f>TEXT(calls[[#This Row],[Date of Call]],"DDDD")</f>
        <v>Monday</v>
      </c>
      <c r="K626" t="str" cm="1">
        <f t="array" ref="K6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26">
        <f>ROUND(calls[[#This Row],[Satisfaction Rating]],0)</f>
        <v>3</v>
      </c>
    </row>
    <row r="627" spans="2:12">
      <c r="B627" t="s">
        <v>649</v>
      </c>
      <c r="C627" t="s">
        <v>22</v>
      </c>
      <c r="D627">
        <v>123</v>
      </c>
      <c r="E627" s="17" t="s">
        <v>13</v>
      </c>
      <c r="F627" s="18">
        <v>45124</v>
      </c>
      <c r="G627">
        <v>80</v>
      </c>
      <c r="H627">
        <v>2.7</v>
      </c>
      <c r="I627">
        <f>IF(MONTH(calls[[#This Row],[Date of Call]])&lt;=6, YEAR(calls[[#This Row],[Date of Call]]), YEAR(calls[[#This Row],[Date of Call]])+1)</f>
        <v>2024</v>
      </c>
      <c r="J627" t="str">
        <f>TEXT(calls[[#This Row],[Date of Call]],"DDDD")</f>
        <v>Monday</v>
      </c>
      <c r="K627" t="str" cm="1">
        <f t="array" ref="K6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27">
        <f>ROUND(calls[[#This Row],[Satisfaction Rating]],0)</f>
        <v>3</v>
      </c>
    </row>
    <row r="628" spans="2:12">
      <c r="B628" t="s">
        <v>650</v>
      </c>
      <c r="C628" t="s">
        <v>16</v>
      </c>
      <c r="D628">
        <v>105</v>
      </c>
      <c r="E628" s="17" t="s">
        <v>13</v>
      </c>
      <c r="F628" s="18">
        <v>45125</v>
      </c>
      <c r="G628">
        <v>176</v>
      </c>
      <c r="H628">
        <v>4.7</v>
      </c>
      <c r="I628">
        <f>IF(MONTH(calls[[#This Row],[Date of Call]])&lt;=6, YEAR(calls[[#This Row],[Date of Call]]), YEAR(calls[[#This Row],[Date of Call]])+1)</f>
        <v>2024</v>
      </c>
      <c r="J628" t="str">
        <f>TEXT(calls[[#This Row],[Date of Call]],"DDDD")</f>
        <v>Tuesday</v>
      </c>
      <c r="K628" t="str" cm="1">
        <f t="array" ref="K6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8">
        <f>ROUND(calls[[#This Row],[Satisfaction Rating]],0)</f>
        <v>5</v>
      </c>
    </row>
    <row r="629" spans="2:12">
      <c r="B629" t="s">
        <v>651</v>
      </c>
      <c r="C629" t="s">
        <v>20</v>
      </c>
      <c r="D629">
        <v>76</v>
      </c>
      <c r="E629" s="17" t="s">
        <v>6</v>
      </c>
      <c r="F629" s="18">
        <v>45126</v>
      </c>
      <c r="G629">
        <v>84</v>
      </c>
      <c r="H629">
        <v>3.9</v>
      </c>
      <c r="I629">
        <f>IF(MONTH(calls[[#This Row],[Date of Call]])&lt;=6, YEAR(calls[[#This Row],[Date of Call]]), YEAR(calls[[#This Row],[Date of Call]])+1)</f>
        <v>2024</v>
      </c>
      <c r="J629" t="str">
        <f>TEXT(calls[[#This Row],[Date of Call]],"DDDD")</f>
        <v>Wednesday</v>
      </c>
      <c r="K629" t="str" cm="1">
        <f t="array" ref="K6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9">
        <f>ROUND(calls[[#This Row],[Satisfaction Rating]],0)</f>
        <v>4</v>
      </c>
    </row>
    <row r="630" spans="2:12">
      <c r="B630" t="s">
        <v>652</v>
      </c>
      <c r="C630" t="s">
        <v>12</v>
      </c>
      <c r="D630">
        <v>144</v>
      </c>
      <c r="E630" s="17" t="s">
        <v>6</v>
      </c>
      <c r="F630" s="18">
        <v>45126</v>
      </c>
      <c r="G630">
        <v>164</v>
      </c>
      <c r="H630">
        <v>2.8</v>
      </c>
      <c r="I630">
        <f>IF(MONTH(calls[[#This Row],[Date of Call]])&lt;=6, YEAR(calls[[#This Row],[Date of Call]]), YEAR(calls[[#This Row],[Date of Call]])+1)</f>
        <v>2024</v>
      </c>
      <c r="J630" t="str">
        <f>TEXT(calls[[#This Row],[Date of Call]],"DDDD")</f>
        <v>Wednesday</v>
      </c>
      <c r="K630" t="str" cm="1">
        <f t="array" ref="K6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0">
        <f>ROUND(calls[[#This Row],[Satisfaction Rating]],0)</f>
        <v>3</v>
      </c>
    </row>
    <row r="631" spans="2:12">
      <c r="B631" t="s">
        <v>653</v>
      </c>
      <c r="C631" t="s">
        <v>5</v>
      </c>
      <c r="D631">
        <v>109</v>
      </c>
      <c r="E631" s="17" t="s">
        <v>10</v>
      </c>
      <c r="F631" s="18">
        <v>45126</v>
      </c>
      <c r="G631">
        <v>132</v>
      </c>
      <c r="H631">
        <v>3.1</v>
      </c>
      <c r="I631">
        <f>IF(MONTH(calls[[#This Row],[Date of Call]])&lt;=6, YEAR(calls[[#This Row],[Date of Call]]), YEAR(calls[[#This Row],[Date of Call]])+1)</f>
        <v>2024</v>
      </c>
      <c r="J631" t="str">
        <f>TEXT(calls[[#This Row],[Date of Call]],"DDDD")</f>
        <v>Wednesday</v>
      </c>
      <c r="K631" t="str" cm="1">
        <f t="array" ref="K6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31">
        <f>ROUND(calls[[#This Row],[Satisfaction Rating]],0)</f>
        <v>3</v>
      </c>
    </row>
    <row r="632" spans="2:12">
      <c r="B632" t="s">
        <v>654</v>
      </c>
      <c r="C632" t="s">
        <v>22</v>
      </c>
      <c r="D632">
        <v>172</v>
      </c>
      <c r="E632" s="17" t="s">
        <v>11</v>
      </c>
      <c r="F632" s="18">
        <v>45127</v>
      </c>
      <c r="G632">
        <v>27</v>
      </c>
      <c r="H632">
        <v>4.2</v>
      </c>
      <c r="I632">
        <f>IF(MONTH(calls[[#This Row],[Date of Call]])&lt;=6, YEAR(calls[[#This Row],[Date of Call]]), YEAR(calls[[#This Row],[Date of Call]])+1)</f>
        <v>2024</v>
      </c>
      <c r="J632" t="str">
        <f>TEXT(calls[[#This Row],[Date of Call]],"DDDD")</f>
        <v>Thursday</v>
      </c>
      <c r="K632" t="str" cm="1">
        <f t="array" ref="K6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2">
        <f>ROUND(calls[[#This Row],[Satisfaction Rating]],0)</f>
        <v>4</v>
      </c>
    </row>
    <row r="633" spans="2:12">
      <c r="B633" t="s">
        <v>655</v>
      </c>
      <c r="C633" t="s">
        <v>12</v>
      </c>
      <c r="D633">
        <v>56</v>
      </c>
      <c r="E633" s="17" t="s">
        <v>13</v>
      </c>
      <c r="F633" s="18">
        <v>45127</v>
      </c>
      <c r="G633">
        <v>27</v>
      </c>
      <c r="H633">
        <v>4.3</v>
      </c>
      <c r="I633">
        <f>IF(MONTH(calls[[#This Row],[Date of Call]])&lt;=6, YEAR(calls[[#This Row],[Date of Call]]), YEAR(calls[[#This Row],[Date of Call]])+1)</f>
        <v>2024</v>
      </c>
      <c r="J633" t="str">
        <f>TEXT(calls[[#This Row],[Date of Call]],"DDDD")</f>
        <v>Thursday</v>
      </c>
      <c r="K633" t="str" cm="1">
        <f t="array" ref="K63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33">
        <f>ROUND(calls[[#This Row],[Satisfaction Rating]],0)</f>
        <v>4</v>
      </c>
    </row>
    <row r="634" spans="2:12">
      <c r="B634" t="s">
        <v>656</v>
      </c>
      <c r="C634" t="s">
        <v>12</v>
      </c>
      <c r="D634">
        <v>121</v>
      </c>
      <c r="E634" s="17" t="s">
        <v>9</v>
      </c>
      <c r="F634" s="18">
        <v>45127</v>
      </c>
      <c r="G634">
        <v>20</v>
      </c>
      <c r="H634">
        <v>2.7</v>
      </c>
      <c r="I634">
        <f>IF(MONTH(calls[[#This Row],[Date of Call]])&lt;=6, YEAR(calls[[#This Row],[Date of Call]]), YEAR(calls[[#This Row],[Date of Call]])+1)</f>
        <v>2024</v>
      </c>
      <c r="J634" t="str">
        <f>TEXT(calls[[#This Row],[Date of Call]],"DDDD")</f>
        <v>Thursday</v>
      </c>
      <c r="K634" t="str" cm="1">
        <f t="array" ref="K63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4">
        <f>ROUND(calls[[#This Row],[Satisfaction Rating]],0)</f>
        <v>3</v>
      </c>
    </row>
    <row r="635" spans="2:12">
      <c r="B635" t="s">
        <v>657</v>
      </c>
      <c r="C635" t="s">
        <v>22</v>
      </c>
      <c r="D635">
        <v>41</v>
      </c>
      <c r="E635" s="17" t="s">
        <v>13</v>
      </c>
      <c r="F635" s="18">
        <v>45128</v>
      </c>
      <c r="G635">
        <v>112</v>
      </c>
      <c r="H635">
        <v>2.2999999999999998</v>
      </c>
      <c r="I635">
        <f>IF(MONTH(calls[[#This Row],[Date of Call]])&lt;=6, YEAR(calls[[#This Row],[Date of Call]]), YEAR(calls[[#This Row],[Date of Call]])+1)</f>
        <v>2024</v>
      </c>
      <c r="J635" t="str">
        <f>TEXT(calls[[#This Row],[Date of Call]],"DDDD")</f>
        <v>Friday</v>
      </c>
      <c r="K635" t="str" cm="1">
        <f t="array" ref="K63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35">
        <f>ROUND(calls[[#This Row],[Satisfaction Rating]],0)</f>
        <v>2</v>
      </c>
    </row>
    <row r="636" spans="2:12">
      <c r="B636" t="s">
        <v>658</v>
      </c>
      <c r="C636" t="s">
        <v>21</v>
      </c>
      <c r="D636">
        <v>60</v>
      </c>
      <c r="E636" s="17" t="s">
        <v>11</v>
      </c>
      <c r="F636" s="18">
        <v>45128</v>
      </c>
      <c r="G636">
        <v>60</v>
      </c>
      <c r="H636">
        <v>2.2999999999999998</v>
      </c>
      <c r="I636">
        <f>IF(MONTH(calls[[#This Row],[Date of Call]])&lt;=6, YEAR(calls[[#This Row],[Date of Call]]), YEAR(calls[[#This Row],[Date of Call]])+1)</f>
        <v>2024</v>
      </c>
      <c r="J636" t="str">
        <f>TEXT(calls[[#This Row],[Date of Call]],"DDDD")</f>
        <v>Friday</v>
      </c>
      <c r="K636" t="str" cm="1">
        <f t="array" ref="K63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36">
        <f>ROUND(calls[[#This Row],[Satisfaction Rating]],0)</f>
        <v>2</v>
      </c>
    </row>
    <row r="637" spans="2:12">
      <c r="B637" t="s">
        <v>659</v>
      </c>
      <c r="C637" t="s">
        <v>21</v>
      </c>
      <c r="D637">
        <v>144</v>
      </c>
      <c r="E637" s="17" t="s">
        <v>11</v>
      </c>
      <c r="F637" s="18">
        <v>45129</v>
      </c>
      <c r="G637">
        <v>102</v>
      </c>
      <c r="H637">
        <v>2.9</v>
      </c>
      <c r="I637">
        <f>IF(MONTH(calls[[#This Row],[Date of Call]])&lt;=6, YEAR(calls[[#This Row],[Date of Call]]), YEAR(calls[[#This Row],[Date of Call]])+1)</f>
        <v>2024</v>
      </c>
      <c r="J637" t="str">
        <f>TEXT(calls[[#This Row],[Date of Call]],"DDDD")</f>
        <v>Saturday</v>
      </c>
      <c r="K637" t="str" cm="1">
        <f t="array" ref="K6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7">
        <f>ROUND(calls[[#This Row],[Satisfaction Rating]],0)</f>
        <v>3</v>
      </c>
    </row>
    <row r="638" spans="2:12">
      <c r="B638" t="s">
        <v>660</v>
      </c>
      <c r="C638" t="s">
        <v>8</v>
      </c>
      <c r="D638">
        <v>67</v>
      </c>
      <c r="E638" s="17" t="s">
        <v>11</v>
      </c>
      <c r="F638" s="18">
        <v>45129</v>
      </c>
      <c r="G638">
        <v>38</v>
      </c>
      <c r="H638">
        <v>4.2</v>
      </c>
      <c r="I638">
        <f>IF(MONTH(calls[[#This Row],[Date of Call]])&lt;=6, YEAR(calls[[#This Row],[Date of Call]]), YEAR(calls[[#This Row],[Date of Call]])+1)</f>
        <v>2024</v>
      </c>
      <c r="J638" t="str">
        <f>TEXT(calls[[#This Row],[Date of Call]],"DDDD")</f>
        <v>Saturday</v>
      </c>
      <c r="K638" t="str" cm="1">
        <f t="array" ref="K6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38">
        <f>ROUND(calls[[#This Row],[Satisfaction Rating]],0)</f>
        <v>4</v>
      </c>
    </row>
    <row r="639" spans="2:12">
      <c r="B639" t="s">
        <v>661</v>
      </c>
      <c r="C639" t="s">
        <v>22</v>
      </c>
      <c r="D639">
        <v>162</v>
      </c>
      <c r="E639" s="17" t="s">
        <v>10</v>
      </c>
      <c r="F639" s="18">
        <v>45129</v>
      </c>
      <c r="G639">
        <v>82</v>
      </c>
      <c r="H639">
        <v>4.5999999999999996</v>
      </c>
      <c r="I639">
        <f>IF(MONTH(calls[[#This Row],[Date of Call]])&lt;=6, YEAR(calls[[#This Row],[Date of Call]]), YEAR(calls[[#This Row],[Date of Call]])+1)</f>
        <v>2024</v>
      </c>
      <c r="J639" t="str">
        <f>TEXT(calls[[#This Row],[Date of Call]],"DDDD")</f>
        <v>Saturday</v>
      </c>
      <c r="K639" t="str" cm="1">
        <f t="array" ref="K63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9">
        <f>ROUND(calls[[#This Row],[Satisfaction Rating]],0)</f>
        <v>5</v>
      </c>
    </row>
    <row r="640" spans="2:12">
      <c r="B640" t="s">
        <v>662</v>
      </c>
      <c r="C640" t="s">
        <v>21</v>
      </c>
      <c r="D640">
        <v>87</v>
      </c>
      <c r="E640" s="17" t="s">
        <v>9</v>
      </c>
      <c r="F640" s="18">
        <v>45132</v>
      </c>
      <c r="G640">
        <v>125</v>
      </c>
      <c r="H640">
        <v>4.5</v>
      </c>
      <c r="I640">
        <f>IF(MONTH(calls[[#This Row],[Date of Call]])&lt;=6, YEAR(calls[[#This Row],[Date of Call]]), YEAR(calls[[#This Row],[Date of Call]])+1)</f>
        <v>2024</v>
      </c>
      <c r="J640" t="str">
        <f>TEXT(calls[[#This Row],[Date of Call]],"DDDD")</f>
        <v>Tuesday</v>
      </c>
      <c r="K640" t="str" cm="1">
        <f t="array" ref="K6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0">
        <f>ROUND(calls[[#This Row],[Satisfaction Rating]],0)</f>
        <v>5</v>
      </c>
    </row>
    <row r="641" spans="2:12">
      <c r="B641" t="s">
        <v>663</v>
      </c>
      <c r="C641" t="s">
        <v>19</v>
      </c>
      <c r="D641">
        <v>10</v>
      </c>
      <c r="E641" s="17" t="s">
        <v>6</v>
      </c>
      <c r="F641" s="18">
        <v>45133</v>
      </c>
      <c r="G641">
        <v>72</v>
      </c>
      <c r="H641">
        <v>3.7</v>
      </c>
      <c r="I641">
        <f>IF(MONTH(calls[[#This Row],[Date of Call]])&lt;=6, YEAR(calls[[#This Row],[Date of Call]]), YEAR(calls[[#This Row],[Date of Call]])+1)</f>
        <v>2024</v>
      </c>
      <c r="J641" t="str">
        <f>TEXT(calls[[#This Row],[Date of Call]],"DDDD")</f>
        <v>Wednesday</v>
      </c>
      <c r="K641" t="str" cm="1">
        <f t="array" ref="K641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641">
        <f>ROUND(calls[[#This Row],[Satisfaction Rating]],0)</f>
        <v>4</v>
      </c>
    </row>
    <row r="642" spans="2:12">
      <c r="B642" t="s">
        <v>664</v>
      </c>
      <c r="C642" t="s">
        <v>12</v>
      </c>
      <c r="D642">
        <v>138</v>
      </c>
      <c r="E642" s="17" t="s">
        <v>6</v>
      </c>
      <c r="F642" s="18">
        <v>45133</v>
      </c>
      <c r="G642">
        <v>195</v>
      </c>
      <c r="H642">
        <v>4.0999999999999996</v>
      </c>
      <c r="I642">
        <f>IF(MONTH(calls[[#This Row],[Date of Call]])&lt;=6, YEAR(calls[[#This Row],[Date of Call]]), YEAR(calls[[#This Row],[Date of Call]])+1)</f>
        <v>2024</v>
      </c>
      <c r="J642" t="str">
        <f>TEXT(calls[[#This Row],[Date of Call]],"DDDD")</f>
        <v>Wednesday</v>
      </c>
      <c r="K642" t="str" cm="1">
        <f t="array" ref="K64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42">
        <f>ROUND(calls[[#This Row],[Satisfaction Rating]],0)</f>
        <v>4</v>
      </c>
    </row>
    <row r="643" spans="2:12">
      <c r="B643" t="s">
        <v>665</v>
      </c>
      <c r="C643" t="s">
        <v>22</v>
      </c>
      <c r="D643">
        <v>31</v>
      </c>
      <c r="E643" s="17" t="s">
        <v>6</v>
      </c>
      <c r="F643" s="18">
        <v>45134</v>
      </c>
      <c r="G643">
        <v>160</v>
      </c>
      <c r="H643">
        <v>3.4</v>
      </c>
      <c r="I643">
        <f>IF(MONTH(calls[[#This Row],[Date of Call]])&lt;=6, YEAR(calls[[#This Row],[Date of Call]]), YEAR(calls[[#This Row],[Date of Call]])+1)</f>
        <v>2024</v>
      </c>
      <c r="J643" t="str">
        <f>TEXT(calls[[#This Row],[Date of Call]],"DDDD")</f>
        <v>Thursday</v>
      </c>
      <c r="K643" t="str" cm="1">
        <f t="array" ref="K64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43">
        <f>ROUND(calls[[#This Row],[Satisfaction Rating]],0)</f>
        <v>3</v>
      </c>
    </row>
    <row r="644" spans="2:12">
      <c r="B644" t="s">
        <v>666</v>
      </c>
      <c r="C644" t="s">
        <v>16</v>
      </c>
      <c r="D644">
        <v>75</v>
      </c>
      <c r="E644" s="17" t="s">
        <v>10</v>
      </c>
      <c r="F644" s="18">
        <v>45134</v>
      </c>
      <c r="G644">
        <v>78</v>
      </c>
      <c r="H644">
        <v>3.3</v>
      </c>
      <c r="I644">
        <f>IF(MONTH(calls[[#This Row],[Date of Call]])&lt;=6, YEAR(calls[[#This Row],[Date of Call]]), YEAR(calls[[#This Row],[Date of Call]])+1)</f>
        <v>2024</v>
      </c>
      <c r="J644" t="str">
        <f>TEXT(calls[[#This Row],[Date of Call]],"DDDD")</f>
        <v>Thursday</v>
      </c>
      <c r="K644" t="str" cm="1">
        <f t="array" ref="K6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4">
        <f>ROUND(calls[[#This Row],[Satisfaction Rating]],0)</f>
        <v>3</v>
      </c>
    </row>
    <row r="645" spans="2:12">
      <c r="B645" t="s">
        <v>667</v>
      </c>
      <c r="C645" t="s">
        <v>20</v>
      </c>
      <c r="D645">
        <v>65</v>
      </c>
      <c r="E645" s="17" t="s">
        <v>10</v>
      </c>
      <c r="F645" s="18">
        <v>45135</v>
      </c>
      <c r="G645">
        <v>70</v>
      </c>
      <c r="H645">
        <v>4.4000000000000004</v>
      </c>
      <c r="I645">
        <f>IF(MONTH(calls[[#This Row],[Date of Call]])&lt;=6, YEAR(calls[[#This Row],[Date of Call]]), YEAR(calls[[#This Row],[Date of Call]])+1)</f>
        <v>2024</v>
      </c>
      <c r="J645" t="str">
        <f>TEXT(calls[[#This Row],[Date of Call]],"DDDD")</f>
        <v>Friday</v>
      </c>
      <c r="K645" t="str" cm="1">
        <f t="array" ref="K6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5">
        <f>ROUND(calls[[#This Row],[Satisfaction Rating]],0)</f>
        <v>4</v>
      </c>
    </row>
    <row r="646" spans="2:12">
      <c r="B646" t="s">
        <v>668</v>
      </c>
      <c r="C646" t="s">
        <v>23</v>
      </c>
      <c r="D646">
        <v>106</v>
      </c>
      <c r="E646" s="17" t="s">
        <v>13</v>
      </c>
      <c r="F646" s="18">
        <v>45135</v>
      </c>
      <c r="G646">
        <v>105</v>
      </c>
      <c r="H646">
        <v>4.2</v>
      </c>
      <c r="I646">
        <f>IF(MONTH(calls[[#This Row],[Date of Call]])&lt;=6, YEAR(calls[[#This Row],[Date of Call]]), YEAR(calls[[#This Row],[Date of Call]])+1)</f>
        <v>2024</v>
      </c>
      <c r="J646" t="str">
        <f>TEXT(calls[[#This Row],[Date of Call]],"DDDD")</f>
        <v>Friday</v>
      </c>
      <c r="K646" t="str" cm="1">
        <f t="array" ref="K6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6">
        <f>ROUND(calls[[#This Row],[Satisfaction Rating]],0)</f>
        <v>4</v>
      </c>
    </row>
    <row r="647" spans="2:12">
      <c r="B647" t="s">
        <v>669</v>
      </c>
      <c r="C647" t="s">
        <v>20</v>
      </c>
      <c r="D647">
        <v>107</v>
      </c>
      <c r="E647" s="17" t="s">
        <v>13</v>
      </c>
      <c r="F647" s="18">
        <v>45136</v>
      </c>
      <c r="G647">
        <v>78</v>
      </c>
      <c r="H647">
        <v>3.4</v>
      </c>
      <c r="I647">
        <f>IF(MONTH(calls[[#This Row],[Date of Call]])&lt;=6, YEAR(calls[[#This Row],[Date of Call]]), YEAR(calls[[#This Row],[Date of Call]])+1)</f>
        <v>2024</v>
      </c>
      <c r="J647" t="str">
        <f>TEXT(calls[[#This Row],[Date of Call]],"DDDD")</f>
        <v>Saturday</v>
      </c>
      <c r="K647" t="str" cm="1">
        <f t="array" ref="K6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7">
        <f>ROUND(calls[[#This Row],[Satisfaction Rating]],0)</f>
        <v>3</v>
      </c>
    </row>
    <row r="648" spans="2:12">
      <c r="B648" t="s">
        <v>670</v>
      </c>
      <c r="C648" t="s">
        <v>17</v>
      </c>
      <c r="D648">
        <v>78</v>
      </c>
      <c r="E648" s="17" t="s">
        <v>13</v>
      </c>
      <c r="F648" s="18">
        <v>45138</v>
      </c>
      <c r="G648">
        <v>205</v>
      </c>
      <c r="H648">
        <v>4.4000000000000004</v>
      </c>
      <c r="I648">
        <f>IF(MONTH(calls[[#This Row],[Date of Call]])&lt;=6, YEAR(calls[[#This Row],[Date of Call]]), YEAR(calls[[#This Row],[Date of Call]])+1)</f>
        <v>2024</v>
      </c>
      <c r="J648" t="str">
        <f>TEXT(calls[[#This Row],[Date of Call]],"DDDD")</f>
        <v>Monday</v>
      </c>
      <c r="K648" t="str" cm="1">
        <f t="array" ref="K6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8">
        <f>ROUND(calls[[#This Row],[Satisfaction Rating]],0)</f>
        <v>4</v>
      </c>
    </row>
    <row r="649" spans="2:12">
      <c r="B649" t="s">
        <v>671</v>
      </c>
      <c r="C649" t="s">
        <v>24</v>
      </c>
      <c r="D649">
        <v>122</v>
      </c>
      <c r="E649" s="17" t="s">
        <v>13</v>
      </c>
      <c r="F649" s="18">
        <v>45138</v>
      </c>
      <c r="G649">
        <v>78</v>
      </c>
      <c r="H649">
        <v>2.7</v>
      </c>
      <c r="I649">
        <f>IF(MONTH(calls[[#This Row],[Date of Call]])&lt;=6, YEAR(calls[[#This Row],[Date of Call]]), YEAR(calls[[#This Row],[Date of Call]])+1)</f>
        <v>2024</v>
      </c>
      <c r="J649" t="str">
        <f>TEXT(calls[[#This Row],[Date of Call]],"DDDD")</f>
        <v>Monday</v>
      </c>
      <c r="K649" t="str" cm="1">
        <f t="array" ref="K6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49">
        <f>ROUND(calls[[#This Row],[Satisfaction Rating]],0)</f>
        <v>3</v>
      </c>
    </row>
    <row r="650" spans="2:12">
      <c r="B650" t="s">
        <v>672</v>
      </c>
      <c r="C650" t="s">
        <v>12</v>
      </c>
      <c r="D650">
        <v>58</v>
      </c>
      <c r="E650" s="17" t="s">
        <v>6</v>
      </c>
      <c r="F650" s="18">
        <v>45138</v>
      </c>
      <c r="G650">
        <v>38</v>
      </c>
      <c r="H650">
        <v>4.5</v>
      </c>
      <c r="I650">
        <f>IF(MONTH(calls[[#This Row],[Date of Call]])&lt;=6, YEAR(calls[[#This Row],[Date of Call]]), YEAR(calls[[#This Row],[Date of Call]])+1)</f>
        <v>2024</v>
      </c>
      <c r="J650" t="str">
        <f>TEXT(calls[[#This Row],[Date of Call]],"DDDD")</f>
        <v>Monday</v>
      </c>
      <c r="K650" t="str" cm="1">
        <f t="array" ref="K65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50">
        <f>ROUND(calls[[#This Row],[Satisfaction Rating]],0)</f>
        <v>5</v>
      </c>
    </row>
    <row r="651" spans="2:12">
      <c r="B651" t="s">
        <v>673</v>
      </c>
      <c r="C651" t="s">
        <v>17</v>
      </c>
      <c r="D651">
        <v>33</v>
      </c>
      <c r="E651" s="17" t="s">
        <v>11</v>
      </c>
      <c r="F651" s="18">
        <v>45138</v>
      </c>
      <c r="G651">
        <v>92</v>
      </c>
      <c r="H651">
        <v>1.7</v>
      </c>
      <c r="I651">
        <f>IF(MONTH(calls[[#This Row],[Date of Call]])&lt;=6, YEAR(calls[[#This Row],[Date of Call]]), YEAR(calls[[#This Row],[Date of Call]])+1)</f>
        <v>2024</v>
      </c>
      <c r="J651" t="str">
        <f>TEXT(calls[[#This Row],[Date of Call]],"DDDD")</f>
        <v>Monday</v>
      </c>
      <c r="K651" t="str" cm="1">
        <f t="array" ref="K65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51">
        <f>ROUND(calls[[#This Row],[Satisfaction Rating]],0)</f>
        <v>2</v>
      </c>
    </row>
    <row r="652" spans="2:12">
      <c r="B652" t="s">
        <v>674</v>
      </c>
      <c r="C652" t="s">
        <v>5</v>
      </c>
      <c r="D652">
        <v>164</v>
      </c>
      <c r="E652" s="17" t="s">
        <v>10</v>
      </c>
      <c r="F652" s="18">
        <v>45138</v>
      </c>
      <c r="G652">
        <v>36</v>
      </c>
      <c r="H652">
        <v>4.7</v>
      </c>
      <c r="I652">
        <f>IF(MONTH(calls[[#This Row],[Date of Call]])&lt;=6, YEAR(calls[[#This Row],[Date of Call]]), YEAR(calls[[#This Row],[Date of Call]])+1)</f>
        <v>2024</v>
      </c>
      <c r="J652" t="str">
        <f>TEXT(calls[[#This Row],[Date of Call]],"DDDD")</f>
        <v>Monday</v>
      </c>
      <c r="K652" t="str" cm="1">
        <f t="array" ref="K65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2">
        <f>ROUND(calls[[#This Row],[Satisfaction Rating]],0)</f>
        <v>5</v>
      </c>
    </row>
    <row r="653" spans="2:12">
      <c r="B653" t="s">
        <v>675</v>
      </c>
      <c r="C653" t="s">
        <v>16</v>
      </c>
      <c r="D653">
        <v>163</v>
      </c>
      <c r="E653" s="17" t="s">
        <v>9</v>
      </c>
      <c r="F653" s="18">
        <v>45138</v>
      </c>
      <c r="G653">
        <v>76</v>
      </c>
      <c r="H653">
        <v>4.4000000000000004</v>
      </c>
      <c r="I653">
        <f>IF(MONTH(calls[[#This Row],[Date of Call]])&lt;=6, YEAR(calls[[#This Row],[Date of Call]]), YEAR(calls[[#This Row],[Date of Call]])+1)</f>
        <v>2024</v>
      </c>
      <c r="J653" t="str">
        <f>TEXT(calls[[#This Row],[Date of Call]],"DDDD")</f>
        <v>Monday</v>
      </c>
      <c r="K653" t="str" cm="1">
        <f t="array" ref="K6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3">
        <f>ROUND(calls[[#This Row],[Satisfaction Rating]],0)</f>
        <v>4</v>
      </c>
    </row>
    <row r="654" spans="2:12">
      <c r="B654" t="s">
        <v>676</v>
      </c>
      <c r="C654" t="s">
        <v>15</v>
      </c>
      <c r="D654">
        <v>71</v>
      </c>
      <c r="E654" s="17" t="s">
        <v>10</v>
      </c>
      <c r="F654" s="18">
        <v>45140</v>
      </c>
      <c r="G654">
        <v>170</v>
      </c>
      <c r="H654">
        <v>3.5</v>
      </c>
      <c r="I654">
        <f>IF(MONTH(calls[[#This Row],[Date of Call]])&lt;=6, YEAR(calls[[#This Row],[Date of Call]]), YEAR(calls[[#This Row],[Date of Call]])+1)</f>
        <v>2024</v>
      </c>
      <c r="J654" t="str">
        <f>TEXT(calls[[#This Row],[Date of Call]],"DDDD")</f>
        <v>Wednesday</v>
      </c>
      <c r="K654" t="str" cm="1">
        <f t="array" ref="K65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4">
        <f>ROUND(calls[[#This Row],[Satisfaction Rating]],0)</f>
        <v>4</v>
      </c>
    </row>
    <row r="655" spans="2:12">
      <c r="B655" t="s">
        <v>677</v>
      </c>
      <c r="C655" t="s">
        <v>17</v>
      </c>
      <c r="D655">
        <v>103</v>
      </c>
      <c r="E655" s="17" t="s">
        <v>6</v>
      </c>
      <c r="F655" s="18">
        <v>45141</v>
      </c>
      <c r="G655">
        <v>117</v>
      </c>
      <c r="H655">
        <v>4.7</v>
      </c>
      <c r="I655">
        <f>IF(MONTH(calls[[#This Row],[Date of Call]])&lt;=6, YEAR(calls[[#This Row],[Date of Call]]), YEAR(calls[[#This Row],[Date of Call]])+1)</f>
        <v>2024</v>
      </c>
      <c r="J655" t="str">
        <f>TEXT(calls[[#This Row],[Date of Call]],"DDDD")</f>
        <v>Thursday</v>
      </c>
      <c r="K655" t="str" cm="1">
        <f t="array" ref="K6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5">
        <f>ROUND(calls[[#This Row],[Satisfaction Rating]],0)</f>
        <v>5</v>
      </c>
    </row>
    <row r="656" spans="2:12">
      <c r="B656" t="s">
        <v>678</v>
      </c>
      <c r="C656" t="s">
        <v>7</v>
      </c>
      <c r="D656">
        <v>69</v>
      </c>
      <c r="E656" s="17" t="s">
        <v>9</v>
      </c>
      <c r="F656" s="18">
        <v>45141</v>
      </c>
      <c r="G656">
        <v>20</v>
      </c>
      <c r="H656">
        <v>4.3</v>
      </c>
      <c r="I656">
        <f>IF(MONTH(calls[[#This Row],[Date of Call]])&lt;=6, YEAR(calls[[#This Row],[Date of Call]]), YEAR(calls[[#This Row],[Date of Call]])+1)</f>
        <v>2024</v>
      </c>
      <c r="J656" t="str">
        <f>TEXT(calls[[#This Row],[Date of Call]],"DDDD")</f>
        <v>Thursday</v>
      </c>
      <c r="K656" t="str" cm="1">
        <f t="array" ref="K6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6">
        <f>ROUND(calls[[#This Row],[Satisfaction Rating]],0)</f>
        <v>4</v>
      </c>
    </row>
    <row r="657" spans="2:12">
      <c r="B657" t="s">
        <v>679</v>
      </c>
      <c r="C657" t="s">
        <v>16</v>
      </c>
      <c r="D657">
        <v>111</v>
      </c>
      <c r="E657" s="17" t="s">
        <v>6</v>
      </c>
      <c r="F657" s="18">
        <v>45141</v>
      </c>
      <c r="G657">
        <v>99</v>
      </c>
      <c r="H657">
        <v>4.0999999999999996</v>
      </c>
      <c r="I657">
        <f>IF(MONTH(calls[[#This Row],[Date of Call]])&lt;=6, YEAR(calls[[#This Row],[Date of Call]]), YEAR(calls[[#This Row],[Date of Call]])+1)</f>
        <v>2024</v>
      </c>
      <c r="J657" t="str">
        <f>TEXT(calls[[#This Row],[Date of Call]],"DDDD")</f>
        <v>Thursday</v>
      </c>
      <c r="K657" t="str" cm="1">
        <f t="array" ref="K6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7">
        <f>ROUND(calls[[#This Row],[Satisfaction Rating]],0)</f>
        <v>4</v>
      </c>
    </row>
    <row r="658" spans="2:12">
      <c r="B658" t="s">
        <v>680</v>
      </c>
      <c r="C658" t="s">
        <v>18</v>
      </c>
      <c r="D658">
        <v>97</v>
      </c>
      <c r="E658" s="17" t="s">
        <v>9</v>
      </c>
      <c r="F658" s="18">
        <v>45142</v>
      </c>
      <c r="G658">
        <v>105</v>
      </c>
      <c r="H658">
        <v>2.9</v>
      </c>
      <c r="I658">
        <f>IF(MONTH(calls[[#This Row],[Date of Call]])&lt;=6, YEAR(calls[[#This Row],[Date of Call]]), YEAR(calls[[#This Row],[Date of Call]])+1)</f>
        <v>2024</v>
      </c>
      <c r="J658" t="str">
        <f>TEXT(calls[[#This Row],[Date of Call]],"DDDD")</f>
        <v>Friday</v>
      </c>
      <c r="K658" t="str" cm="1">
        <f t="array" ref="K6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8">
        <f>ROUND(calls[[#This Row],[Satisfaction Rating]],0)</f>
        <v>3</v>
      </c>
    </row>
    <row r="659" spans="2:12">
      <c r="B659" t="s">
        <v>681</v>
      </c>
      <c r="C659" t="s">
        <v>14</v>
      </c>
      <c r="D659">
        <v>144</v>
      </c>
      <c r="E659" s="17" t="s">
        <v>13</v>
      </c>
      <c r="F659" s="18">
        <v>45142</v>
      </c>
      <c r="G659">
        <v>195</v>
      </c>
      <c r="H659">
        <v>3.4</v>
      </c>
      <c r="I659">
        <f>IF(MONTH(calls[[#This Row],[Date of Call]])&lt;=6, YEAR(calls[[#This Row],[Date of Call]]), YEAR(calls[[#This Row],[Date of Call]])+1)</f>
        <v>2024</v>
      </c>
      <c r="J659" t="str">
        <f>TEXT(calls[[#This Row],[Date of Call]],"DDDD")</f>
        <v>Friday</v>
      </c>
      <c r="K659" t="str" cm="1">
        <f t="array" ref="K65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9">
        <f>ROUND(calls[[#This Row],[Satisfaction Rating]],0)</f>
        <v>3</v>
      </c>
    </row>
    <row r="660" spans="2:12">
      <c r="B660" t="s">
        <v>682</v>
      </c>
      <c r="C660" t="s">
        <v>23</v>
      </c>
      <c r="D660">
        <v>56</v>
      </c>
      <c r="E660" s="17" t="s">
        <v>9</v>
      </c>
      <c r="F660" s="18">
        <v>45143</v>
      </c>
      <c r="G660">
        <v>152</v>
      </c>
      <c r="H660">
        <v>4.5999999999999996</v>
      </c>
      <c r="I660">
        <f>IF(MONTH(calls[[#This Row],[Date of Call]])&lt;=6, YEAR(calls[[#This Row],[Date of Call]]), YEAR(calls[[#This Row],[Date of Call]])+1)</f>
        <v>2024</v>
      </c>
      <c r="J660" t="str">
        <f>TEXT(calls[[#This Row],[Date of Call]],"DDDD")</f>
        <v>Saturday</v>
      </c>
      <c r="K660" t="str" cm="1">
        <f t="array" ref="K66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60">
        <f>ROUND(calls[[#This Row],[Satisfaction Rating]],0)</f>
        <v>5</v>
      </c>
    </row>
    <row r="661" spans="2:12">
      <c r="B661" t="s">
        <v>683</v>
      </c>
      <c r="C661" t="s">
        <v>14</v>
      </c>
      <c r="D661">
        <v>132</v>
      </c>
      <c r="E661" s="17" t="s">
        <v>13</v>
      </c>
      <c r="F661" s="18">
        <v>45144</v>
      </c>
      <c r="G661">
        <v>195</v>
      </c>
      <c r="H661">
        <v>4.9000000000000004</v>
      </c>
      <c r="I661">
        <f>IF(MONTH(calls[[#This Row],[Date of Call]])&lt;=6, YEAR(calls[[#This Row],[Date of Call]]), YEAR(calls[[#This Row],[Date of Call]])+1)</f>
        <v>2024</v>
      </c>
      <c r="J661" t="str">
        <f>TEXT(calls[[#This Row],[Date of Call]],"DDDD")</f>
        <v>Sunday</v>
      </c>
      <c r="K661" t="str" cm="1">
        <f t="array" ref="K66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61">
        <f>ROUND(calls[[#This Row],[Satisfaction Rating]],0)</f>
        <v>5</v>
      </c>
    </row>
    <row r="662" spans="2:12">
      <c r="B662" t="s">
        <v>684</v>
      </c>
      <c r="C662" t="s">
        <v>15</v>
      </c>
      <c r="D662">
        <v>72</v>
      </c>
      <c r="E662" s="17" t="s">
        <v>11</v>
      </c>
      <c r="F662" s="18">
        <v>45144</v>
      </c>
      <c r="G662">
        <v>70</v>
      </c>
      <c r="H662">
        <v>3.6</v>
      </c>
      <c r="I662">
        <f>IF(MONTH(calls[[#This Row],[Date of Call]])&lt;=6, YEAR(calls[[#This Row],[Date of Call]]), YEAR(calls[[#This Row],[Date of Call]])+1)</f>
        <v>2024</v>
      </c>
      <c r="J662" t="str">
        <f>TEXT(calls[[#This Row],[Date of Call]],"DDDD")</f>
        <v>Sunday</v>
      </c>
      <c r="K662" t="str" cm="1">
        <f t="array" ref="K6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2">
        <f>ROUND(calls[[#This Row],[Satisfaction Rating]],0)</f>
        <v>4</v>
      </c>
    </row>
    <row r="663" spans="2:12">
      <c r="B663" t="s">
        <v>685</v>
      </c>
      <c r="C663" t="s">
        <v>16</v>
      </c>
      <c r="D663">
        <v>18</v>
      </c>
      <c r="E663" s="17" t="s">
        <v>11</v>
      </c>
      <c r="F663" s="18">
        <v>45144</v>
      </c>
      <c r="G663">
        <v>22</v>
      </c>
      <c r="H663">
        <v>3.5</v>
      </c>
      <c r="I663">
        <f>IF(MONTH(calls[[#This Row],[Date of Call]])&lt;=6, YEAR(calls[[#This Row],[Date of Call]]), YEAR(calls[[#This Row],[Date of Call]])+1)</f>
        <v>2024</v>
      </c>
      <c r="J663" t="str">
        <f>TEXT(calls[[#This Row],[Date of Call]],"DDDD")</f>
        <v>Sunday</v>
      </c>
      <c r="K663" t="str" cm="1">
        <f t="array" ref="K66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63">
        <f>ROUND(calls[[#This Row],[Satisfaction Rating]],0)</f>
        <v>4</v>
      </c>
    </row>
    <row r="664" spans="2:12">
      <c r="B664" t="s">
        <v>686</v>
      </c>
      <c r="C664" t="s">
        <v>8</v>
      </c>
      <c r="D664">
        <v>115</v>
      </c>
      <c r="E664" s="17" t="s">
        <v>6</v>
      </c>
      <c r="F664" s="18">
        <v>45145</v>
      </c>
      <c r="G664">
        <v>40</v>
      </c>
      <c r="H664">
        <v>3.3</v>
      </c>
      <c r="I664">
        <f>IF(MONTH(calls[[#This Row],[Date of Call]])&lt;=6, YEAR(calls[[#This Row],[Date of Call]]), YEAR(calls[[#This Row],[Date of Call]])+1)</f>
        <v>2024</v>
      </c>
      <c r="J664" t="str">
        <f>TEXT(calls[[#This Row],[Date of Call]],"DDDD")</f>
        <v>Monday</v>
      </c>
      <c r="K664" t="str" cm="1">
        <f t="array" ref="K6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4">
        <f>ROUND(calls[[#This Row],[Satisfaction Rating]],0)</f>
        <v>3</v>
      </c>
    </row>
    <row r="665" spans="2:12">
      <c r="B665" t="s">
        <v>687</v>
      </c>
      <c r="C665" t="s">
        <v>8</v>
      </c>
      <c r="D665">
        <v>124</v>
      </c>
      <c r="E665" s="17" t="s">
        <v>9</v>
      </c>
      <c r="F665" s="18">
        <v>45146</v>
      </c>
      <c r="G665">
        <v>54</v>
      </c>
      <c r="H665">
        <v>3.8</v>
      </c>
      <c r="I665">
        <f>IF(MONTH(calls[[#This Row],[Date of Call]])&lt;=6, YEAR(calls[[#This Row],[Date of Call]]), YEAR(calls[[#This Row],[Date of Call]])+1)</f>
        <v>2024</v>
      </c>
      <c r="J665" t="str">
        <f>TEXT(calls[[#This Row],[Date of Call]],"DDDD")</f>
        <v>Tuesday</v>
      </c>
      <c r="K665" t="str" cm="1">
        <f t="array" ref="K66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65">
        <f>ROUND(calls[[#This Row],[Satisfaction Rating]],0)</f>
        <v>4</v>
      </c>
    </row>
    <row r="666" spans="2:12">
      <c r="B666" t="s">
        <v>688</v>
      </c>
      <c r="C666" t="s">
        <v>12</v>
      </c>
      <c r="D666">
        <v>130</v>
      </c>
      <c r="E666" s="17" t="s">
        <v>9</v>
      </c>
      <c r="F666" s="18">
        <v>45146</v>
      </c>
      <c r="G666">
        <v>60</v>
      </c>
      <c r="H666">
        <v>2.5</v>
      </c>
      <c r="I666">
        <f>IF(MONTH(calls[[#This Row],[Date of Call]])&lt;=6, YEAR(calls[[#This Row],[Date of Call]]), YEAR(calls[[#This Row],[Date of Call]])+1)</f>
        <v>2024</v>
      </c>
      <c r="J666" t="str">
        <f>TEXT(calls[[#This Row],[Date of Call]],"DDDD")</f>
        <v>Tuesday</v>
      </c>
      <c r="K666" t="str" cm="1">
        <f t="array" ref="K66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66">
        <f>ROUND(calls[[#This Row],[Satisfaction Rating]],0)</f>
        <v>3</v>
      </c>
    </row>
    <row r="667" spans="2:12">
      <c r="B667" t="s">
        <v>689</v>
      </c>
      <c r="C667" t="s">
        <v>19</v>
      </c>
      <c r="D667">
        <v>120</v>
      </c>
      <c r="E667" s="17" t="s">
        <v>10</v>
      </c>
      <c r="F667" s="18">
        <v>45148</v>
      </c>
      <c r="G667">
        <v>58</v>
      </c>
      <c r="H667">
        <v>4.5999999999999996</v>
      </c>
      <c r="I667">
        <f>IF(MONTH(calls[[#This Row],[Date of Call]])&lt;=6, YEAR(calls[[#This Row],[Date of Call]]), YEAR(calls[[#This Row],[Date of Call]])+1)</f>
        <v>2024</v>
      </c>
      <c r="J667" t="str">
        <f>TEXT(calls[[#This Row],[Date of Call]],"DDDD")</f>
        <v>Thursday</v>
      </c>
      <c r="K667" t="str" cm="1">
        <f t="array" ref="K6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7">
        <f>ROUND(calls[[#This Row],[Satisfaction Rating]],0)</f>
        <v>5</v>
      </c>
    </row>
    <row r="668" spans="2:12">
      <c r="B668" t="s">
        <v>690</v>
      </c>
      <c r="C668" t="s">
        <v>18</v>
      </c>
      <c r="D668">
        <v>75</v>
      </c>
      <c r="E668" s="17" t="s">
        <v>6</v>
      </c>
      <c r="F668" s="18">
        <v>45148</v>
      </c>
      <c r="G668">
        <v>220</v>
      </c>
      <c r="H668">
        <v>4.7</v>
      </c>
      <c r="I668">
        <f>IF(MONTH(calls[[#This Row],[Date of Call]])&lt;=6, YEAR(calls[[#This Row],[Date of Call]]), YEAR(calls[[#This Row],[Date of Call]])+1)</f>
        <v>2024</v>
      </c>
      <c r="J668" t="str">
        <f>TEXT(calls[[#This Row],[Date of Call]],"DDDD")</f>
        <v>Thursday</v>
      </c>
      <c r="K668" t="str" cm="1">
        <f t="array" ref="K66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8">
        <f>ROUND(calls[[#This Row],[Satisfaction Rating]],0)</f>
        <v>5</v>
      </c>
    </row>
    <row r="669" spans="2:12">
      <c r="B669" t="s">
        <v>691</v>
      </c>
      <c r="C669" t="s">
        <v>20</v>
      </c>
      <c r="D669">
        <v>63</v>
      </c>
      <c r="E669" s="17" t="s">
        <v>6</v>
      </c>
      <c r="F669" s="18">
        <v>45148</v>
      </c>
      <c r="G669">
        <v>27</v>
      </c>
      <c r="H669">
        <v>3.6</v>
      </c>
      <c r="I669">
        <f>IF(MONTH(calls[[#This Row],[Date of Call]])&lt;=6, YEAR(calls[[#This Row],[Date of Call]]), YEAR(calls[[#This Row],[Date of Call]])+1)</f>
        <v>2024</v>
      </c>
      <c r="J669" t="str">
        <f>TEXT(calls[[#This Row],[Date of Call]],"DDDD")</f>
        <v>Thursday</v>
      </c>
      <c r="K669" t="str" cm="1">
        <f t="array" ref="K6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9">
        <f>ROUND(calls[[#This Row],[Satisfaction Rating]],0)</f>
        <v>4</v>
      </c>
    </row>
    <row r="670" spans="2:12">
      <c r="B670" t="s">
        <v>692</v>
      </c>
      <c r="C670" t="s">
        <v>14</v>
      </c>
      <c r="D670">
        <v>74</v>
      </c>
      <c r="E670" s="17" t="s">
        <v>6</v>
      </c>
      <c r="F670" s="18">
        <v>45150</v>
      </c>
      <c r="G670">
        <v>26</v>
      </c>
      <c r="H670">
        <v>4.3</v>
      </c>
      <c r="I670">
        <f>IF(MONTH(calls[[#This Row],[Date of Call]])&lt;=6, YEAR(calls[[#This Row],[Date of Call]]), YEAR(calls[[#This Row],[Date of Call]])+1)</f>
        <v>2024</v>
      </c>
      <c r="J670" t="str">
        <f>TEXT(calls[[#This Row],[Date of Call]],"DDDD")</f>
        <v>Saturday</v>
      </c>
      <c r="K670" t="str" cm="1">
        <f t="array" ref="K6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0">
        <f>ROUND(calls[[#This Row],[Satisfaction Rating]],0)</f>
        <v>4</v>
      </c>
    </row>
    <row r="671" spans="2:12">
      <c r="B671" t="s">
        <v>693</v>
      </c>
      <c r="C671" t="s">
        <v>7</v>
      </c>
      <c r="D671">
        <v>134</v>
      </c>
      <c r="E671" s="17" t="s">
        <v>13</v>
      </c>
      <c r="F671" s="18">
        <v>45151</v>
      </c>
      <c r="G671">
        <v>160</v>
      </c>
      <c r="H671">
        <v>4.7</v>
      </c>
      <c r="I671">
        <f>IF(MONTH(calls[[#This Row],[Date of Call]])&lt;=6, YEAR(calls[[#This Row],[Date of Call]]), YEAR(calls[[#This Row],[Date of Call]])+1)</f>
        <v>2024</v>
      </c>
      <c r="J671" t="str">
        <f>TEXT(calls[[#This Row],[Date of Call]],"DDDD")</f>
        <v>Sunday</v>
      </c>
      <c r="K671" t="str" cm="1">
        <f t="array" ref="K6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1">
        <f>ROUND(calls[[#This Row],[Satisfaction Rating]],0)</f>
        <v>5</v>
      </c>
    </row>
    <row r="672" spans="2:12">
      <c r="B672" t="s">
        <v>694</v>
      </c>
      <c r="C672" t="s">
        <v>16</v>
      </c>
      <c r="D672">
        <v>103</v>
      </c>
      <c r="E672" s="17" t="s">
        <v>9</v>
      </c>
      <c r="F672" s="18">
        <v>45151</v>
      </c>
      <c r="G672">
        <v>200</v>
      </c>
      <c r="H672">
        <v>4.9000000000000004</v>
      </c>
      <c r="I672">
        <f>IF(MONTH(calls[[#This Row],[Date of Call]])&lt;=6, YEAR(calls[[#This Row],[Date of Call]]), YEAR(calls[[#This Row],[Date of Call]])+1)</f>
        <v>2024</v>
      </c>
      <c r="J672" t="str">
        <f>TEXT(calls[[#This Row],[Date of Call]],"DDDD")</f>
        <v>Sunday</v>
      </c>
      <c r="K672" t="str" cm="1">
        <f t="array" ref="K6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2">
        <f>ROUND(calls[[#This Row],[Satisfaction Rating]],0)</f>
        <v>5</v>
      </c>
    </row>
    <row r="673" spans="2:12">
      <c r="B673" t="s">
        <v>695</v>
      </c>
      <c r="C673" t="s">
        <v>16</v>
      </c>
      <c r="D673">
        <v>155</v>
      </c>
      <c r="E673" s="17" t="s">
        <v>10</v>
      </c>
      <c r="F673" s="18">
        <v>45154</v>
      </c>
      <c r="G673">
        <v>135</v>
      </c>
      <c r="H673">
        <v>4.9000000000000004</v>
      </c>
      <c r="I673">
        <f>IF(MONTH(calls[[#This Row],[Date of Call]])&lt;=6, YEAR(calls[[#This Row],[Date of Call]]), YEAR(calls[[#This Row],[Date of Call]])+1)</f>
        <v>2024</v>
      </c>
      <c r="J673" t="str">
        <f>TEXT(calls[[#This Row],[Date of Call]],"DDDD")</f>
        <v>Wednesday</v>
      </c>
      <c r="K673" t="str" cm="1">
        <f t="array" ref="K6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3">
        <f>ROUND(calls[[#This Row],[Satisfaction Rating]],0)</f>
        <v>5</v>
      </c>
    </row>
    <row r="674" spans="2:12">
      <c r="B674" t="s">
        <v>696</v>
      </c>
      <c r="C674" t="s">
        <v>20</v>
      </c>
      <c r="D674">
        <v>128</v>
      </c>
      <c r="E674" s="17" t="s">
        <v>9</v>
      </c>
      <c r="F674" s="18">
        <v>45155</v>
      </c>
      <c r="G674">
        <v>22</v>
      </c>
      <c r="H674">
        <v>1.9</v>
      </c>
      <c r="I674">
        <f>IF(MONTH(calls[[#This Row],[Date of Call]])&lt;=6, YEAR(calls[[#This Row],[Date of Call]]), YEAR(calls[[#This Row],[Date of Call]])+1)</f>
        <v>2024</v>
      </c>
      <c r="J674" t="str">
        <f>TEXT(calls[[#This Row],[Date of Call]],"DDDD")</f>
        <v>Thursday</v>
      </c>
      <c r="K674" t="str" cm="1">
        <f t="array" ref="K67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4">
        <f>ROUND(calls[[#This Row],[Satisfaction Rating]],0)</f>
        <v>2</v>
      </c>
    </row>
    <row r="675" spans="2:12">
      <c r="B675" t="s">
        <v>697</v>
      </c>
      <c r="C675" t="s">
        <v>18</v>
      </c>
      <c r="D675">
        <v>89</v>
      </c>
      <c r="E675" s="17" t="s">
        <v>13</v>
      </c>
      <c r="F675" s="18">
        <v>45156</v>
      </c>
      <c r="G675">
        <v>164</v>
      </c>
      <c r="H675">
        <v>4.5</v>
      </c>
      <c r="I675">
        <f>IF(MONTH(calls[[#This Row],[Date of Call]])&lt;=6, YEAR(calls[[#This Row],[Date of Call]]), YEAR(calls[[#This Row],[Date of Call]])+1)</f>
        <v>2024</v>
      </c>
      <c r="J675" t="str">
        <f>TEXT(calls[[#This Row],[Date of Call]],"DDDD")</f>
        <v>Friday</v>
      </c>
      <c r="K675" t="str" cm="1">
        <f t="array" ref="K6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5">
        <f>ROUND(calls[[#This Row],[Satisfaction Rating]],0)</f>
        <v>5</v>
      </c>
    </row>
    <row r="676" spans="2:12">
      <c r="B676" t="s">
        <v>698</v>
      </c>
      <c r="C676" t="s">
        <v>8</v>
      </c>
      <c r="D676">
        <v>81</v>
      </c>
      <c r="E676" s="17" t="s">
        <v>10</v>
      </c>
      <c r="F676" s="18">
        <v>45156</v>
      </c>
      <c r="G676">
        <v>21</v>
      </c>
      <c r="H676">
        <v>4.9000000000000004</v>
      </c>
      <c r="I676">
        <f>IF(MONTH(calls[[#This Row],[Date of Call]])&lt;=6, YEAR(calls[[#This Row],[Date of Call]]), YEAR(calls[[#This Row],[Date of Call]])+1)</f>
        <v>2024</v>
      </c>
      <c r="J676" t="str">
        <f>TEXT(calls[[#This Row],[Date of Call]],"DDDD")</f>
        <v>Friday</v>
      </c>
      <c r="K676" t="str" cm="1">
        <f t="array" ref="K6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6">
        <f>ROUND(calls[[#This Row],[Satisfaction Rating]],0)</f>
        <v>5</v>
      </c>
    </row>
    <row r="677" spans="2:12">
      <c r="B677" t="s">
        <v>699</v>
      </c>
      <c r="C677" t="s">
        <v>18</v>
      </c>
      <c r="D677">
        <v>66</v>
      </c>
      <c r="E677" s="17" t="s">
        <v>13</v>
      </c>
      <c r="F677" s="18">
        <v>45157</v>
      </c>
      <c r="G677">
        <v>120</v>
      </c>
      <c r="H677">
        <v>4.5</v>
      </c>
      <c r="I677">
        <f>IF(MONTH(calls[[#This Row],[Date of Call]])&lt;=6, YEAR(calls[[#This Row],[Date of Call]]), YEAR(calls[[#This Row],[Date of Call]])+1)</f>
        <v>2024</v>
      </c>
      <c r="J677" t="str">
        <f>TEXT(calls[[#This Row],[Date of Call]],"DDDD")</f>
        <v>Saturday</v>
      </c>
      <c r="K677" t="str" cm="1">
        <f t="array" ref="K6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7">
        <f>ROUND(calls[[#This Row],[Satisfaction Rating]],0)</f>
        <v>5</v>
      </c>
    </row>
    <row r="678" spans="2:12">
      <c r="B678" t="s">
        <v>700</v>
      </c>
      <c r="C678" t="s">
        <v>15</v>
      </c>
      <c r="D678">
        <v>61</v>
      </c>
      <c r="E678" s="17" t="s">
        <v>11</v>
      </c>
      <c r="F678" s="18">
        <v>45157</v>
      </c>
      <c r="G678">
        <v>93</v>
      </c>
      <c r="H678">
        <v>2.7</v>
      </c>
      <c r="I678">
        <f>IF(MONTH(calls[[#This Row],[Date of Call]])&lt;=6, YEAR(calls[[#This Row],[Date of Call]]), YEAR(calls[[#This Row],[Date of Call]])+1)</f>
        <v>2024</v>
      </c>
      <c r="J678" t="str">
        <f>TEXT(calls[[#This Row],[Date of Call]],"DDDD")</f>
        <v>Saturday</v>
      </c>
      <c r="K678" t="str" cm="1">
        <f t="array" ref="K6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8">
        <f>ROUND(calls[[#This Row],[Satisfaction Rating]],0)</f>
        <v>3</v>
      </c>
    </row>
    <row r="679" spans="2:12">
      <c r="B679" t="s">
        <v>701</v>
      </c>
      <c r="C679" t="s">
        <v>8</v>
      </c>
      <c r="D679">
        <v>128</v>
      </c>
      <c r="E679" s="17" t="s">
        <v>11</v>
      </c>
      <c r="F679" s="18">
        <v>45157</v>
      </c>
      <c r="G679">
        <v>135</v>
      </c>
      <c r="H679">
        <v>2.1</v>
      </c>
      <c r="I679">
        <f>IF(MONTH(calls[[#This Row],[Date of Call]])&lt;=6, YEAR(calls[[#This Row],[Date of Call]]), YEAR(calls[[#This Row],[Date of Call]])+1)</f>
        <v>2024</v>
      </c>
      <c r="J679" t="str">
        <f>TEXT(calls[[#This Row],[Date of Call]],"DDDD")</f>
        <v>Saturday</v>
      </c>
      <c r="K679" t="str" cm="1">
        <f t="array" ref="K6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9">
        <f>ROUND(calls[[#This Row],[Satisfaction Rating]],0)</f>
        <v>2</v>
      </c>
    </row>
    <row r="680" spans="2:12">
      <c r="B680" t="s">
        <v>702</v>
      </c>
      <c r="C680" t="s">
        <v>16</v>
      </c>
      <c r="D680">
        <v>30</v>
      </c>
      <c r="E680" s="17" t="s">
        <v>10</v>
      </c>
      <c r="F680" s="18">
        <v>45157</v>
      </c>
      <c r="G680">
        <v>210</v>
      </c>
      <c r="H680">
        <v>4.2</v>
      </c>
      <c r="I680">
        <f>IF(MONTH(calls[[#This Row],[Date of Call]])&lt;=6, YEAR(calls[[#This Row],[Date of Call]]), YEAR(calls[[#This Row],[Date of Call]])+1)</f>
        <v>2024</v>
      </c>
      <c r="J680" t="str">
        <f>TEXT(calls[[#This Row],[Date of Call]],"DDDD")</f>
        <v>Saturday</v>
      </c>
      <c r="K680" t="str" cm="1">
        <f t="array" ref="K68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80">
        <f>ROUND(calls[[#This Row],[Satisfaction Rating]],0)</f>
        <v>4</v>
      </c>
    </row>
    <row r="681" spans="2:12">
      <c r="B681" t="s">
        <v>703</v>
      </c>
      <c r="C681" t="s">
        <v>5</v>
      </c>
      <c r="D681">
        <v>63</v>
      </c>
      <c r="E681" s="17" t="s">
        <v>11</v>
      </c>
      <c r="F681" s="18">
        <v>45158</v>
      </c>
      <c r="G681">
        <v>29</v>
      </c>
      <c r="H681">
        <v>4.7</v>
      </c>
      <c r="I681">
        <f>IF(MONTH(calls[[#This Row],[Date of Call]])&lt;=6, YEAR(calls[[#This Row],[Date of Call]]), YEAR(calls[[#This Row],[Date of Call]])+1)</f>
        <v>2024</v>
      </c>
      <c r="J681" t="str">
        <f>TEXT(calls[[#This Row],[Date of Call]],"DDDD")</f>
        <v>Sunday</v>
      </c>
      <c r="K681" t="str" cm="1">
        <f t="array" ref="K6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1">
        <f>ROUND(calls[[#This Row],[Satisfaction Rating]],0)</f>
        <v>5</v>
      </c>
    </row>
    <row r="682" spans="2:12">
      <c r="B682" t="s">
        <v>704</v>
      </c>
      <c r="C682" t="s">
        <v>24</v>
      </c>
      <c r="D682">
        <v>64</v>
      </c>
      <c r="E682" s="17" t="s">
        <v>6</v>
      </c>
      <c r="F682" s="18">
        <v>45158</v>
      </c>
      <c r="G682">
        <v>111</v>
      </c>
      <c r="H682">
        <v>3.9</v>
      </c>
      <c r="I682">
        <f>IF(MONTH(calls[[#This Row],[Date of Call]])&lt;=6, YEAR(calls[[#This Row],[Date of Call]]), YEAR(calls[[#This Row],[Date of Call]])+1)</f>
        <v>2024</v>
      </c>
      <c r="J682" t="str">
        <f>TEXT(calls[[#This Row],[Date of Call]],"DDDD")</f>
        <v>Sunday</v>
      </c>
      <c r="K682" t="str" cm="1">
        <f t="array" ref="K6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2">
        <f>ROUND(calls[[#This Row],[Satisfaction Rating]],0)</f>
        <v>4</v>
      </c>
    </row>
    <row r="683" spans="2:12">
      <c r="B683" t="s">
        <v>705</v>
      </c>
      <c r="C683" t="s">
        <v>21</v>
      </c>
      <c r="D683">
        <v>151</v>
      </c>
      <c r="E683" s="17" t="s">
        <v>9</v>
      </c>
      <c r="F683" s="18">
        <v>45159</v>
      </c>
      <c r="G683">
        <v>63</v>
      </c>
      <c r="H683">
        <v>4.0999999999999996</v>
      </c>
      <c r="I683">
        <f>IF(MONTH(calls[[#This Row],[Date of Call]])&lt;=6, YEAR(calls[[#This Row],[Date of Call]]), YEAR(calls[[#This Row],[Date of Call]])+1)</f>
        <v>2024</v>
      </c>
      <c r="J683" t="str">
        <f>TEXT(calls[[#This Row],[Date of Call]],"DDDD")</f>
        <v>Monday</v>
      </c>
      <c r="K683" t="str" cm="1">
        <f t="array" ref="K68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83">
        <f>ROUND(calls[[#This Row],[Satisfaction Rating]],0)</f>
        <v>4</v>
      </c>
    </row>
    <row r="684" spans="2:12">
      <c r="B684" t="s">
        <v>706</v>
      </c>
      <c r="C684" t="s">
        <v>17</v>
      </c>
      <c r="D684">
        <v>116</v>
      </c>
      <c r="E684" s="17" t="s">
        <v>13</v>
      </c>
      <c r="F684" s="18">
        <v>45159</v>
      </c>
      <c r="G684">
        <v>44</v>
      </c>
      <c r="H684">
        <v>3.8</v>
      </c>
      <c r="I684">
        <f>IF(MONTH(calls[[#This Row],[Date of Call]])&lt;=6, YEAR(calls[[#This Row],[Date of Call]]), YEAR(calls[[#This Row],[Date of Call]])+1)</f>
        <v>2024</v>
      </c>
      <c r="J684" t="str">
        <f>TEXT(calls[[#This Row],[Date of Call]],"DDDD")</f>
        <v>Monday</v>
      </c>
      <c r="K684" t="str" cm="1">
        <f t="array" ref="K6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4">
        <f>ROUND(calls[[#This Row],[Satisfaction Rating]],0)</f>
        <v>4</v>
      </c>
    </row>
    <row r="685" spans="2:12">
      <c r="B685" t="s">
        <v>707</v>
      </c>
      <c r="C685" t="s">
        <v>21</v>
      </c>
      <c r="D685">
        <v>111</v>
      </c>
      <c r="E685" s="17" t="s">
        <v>13</v>
      </c>
      <c r="F685" s="18">
        <v>45161</v>
      </c>
      <c r="G685">
        <v>120</v>
      </c>
      <c r="H685">
        <v>1.8</v>
      </c>
      <c r="I685">
        <f>IF(MONTH(calls[[#This Row],[Date of Call]])&lt;=6, YEAR(calls[[#This Row],[Date of Call]]), YEAR(calls[[#This Row],[Date of Call]])+1)</f>
        <v>2024</v>
      </c>
      <c r="J685" t="str">
        <f>TEXT(calls[[#This Row],[Date of Call]],"DDDD")</f>
        <v>Wednesday</v>
      </c>
      <c r="K685" t="str" cm="1">
        <f t="array" ref="K6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5">
        <f>ROUND(calls[[#This Row],[Satisfaction Rating]],0)</f>
        <v>2</v>
      </c>
    </row>
    <row r="686" spans="2:12">
      <c r="B686" t="s">
        <v>708</v>
      </c>
      <c r="C686" t="s">
        <v>8</v>
      </c>
      <c r="D686">
        <v>15</v>
      </c>
      <c r="E686" s="17" t="s">
        <v>13</v>
      </c>
      <c r="F686" s="18">
        <v>45161</v>
      </c>
      <c r="G686">
        <v>120</v>
      </c>
      <c r="H686">
        <v>4.0999999999999996</v>
      </c>
      <c r="I686">
        <f>IF(MONTH(calls[[#This Row],[Date of Call]])&lt;=6, YEAR(calls[[#This Row],[Date of Call]]), YEAR(calls[[#This Row],[Date of Call]])+1)</f>
        <v>2024</v>
      </c>
      <c r="J686" t="str">
        <f>TEXT(calls[[#This Row],[Date of Call]],"DDDD")</f>
        <v>Wednesday</v>
      </c>
      <c r="K686" t="str" cm="1">
        <f t="array" ref="K68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86">
        <f>ROUND(calls[[#This Row],[Satisfaction Rating]],0)</f>
        <v>4</v>
      </c>
    </row>
    <row r="687" spans="2:12">
      <c r="B687" t="s">
        <v>709</v>
      </c>
      <c r="C687" t="s">
        <v>24</v>
      </c>
      <c r="D687">
        <v>18</v>
      </c>
      <c r="E687" s="17" t="s">
        <v>9</v>
      </c>
      <c r="F687" s="18">
        <v>45162</v>
      </c>
      <c r="G687">
        <v>40</v>
      </c>
      <c r="H687">
        <v>4.4000000000000004</v>
      </c>
      <c r="I687">
        <f>IF(MONTH(calls[[#This Row],[Date of Call]])&lt;=6, YEAR(calls[[#This Row],[Date of Call]]), YEAR(calls[[#This Row],[Date of Call]])+1)</f>
        <v>2024</v>
      </c>
      <c r="J687" t="str">
        <f>TEXT(calls[[#This Row],[Date of Call]],"DDDD")</f>
        <v>Thursday</v>
      </c>
      <c r="K687" t="str" cm="1">
        <f t="array" ref="K68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87">
        <f>ROUND(calls[[#This Row],[Satisfaction Rating]],0)</f>
        <v>4</v>
      </c>
    </row>
    <row r="688" spans="2:12">
      <c r="B688" t="s">
        <v>710</v>
      </c>
      <c r="C688" t="s">
        <v>15</v>
      </c>
      <c r="D688">
        <v>146</v>
      </c>
      <c r="E688" s="17" t="s">
        <v>11</v>
      </c>
      <c r="F688" s="18">
        <v>45162</v>
      </c>
      <c r="G688">
        <v>160</v>
      </c>
      <c r="H688">
        <v>4.0999999999999996</v>
      </c>
      <c r="I688">
        <f>IF(MONTH(calls[[#This Row],[Date of Call]])&lt;=6, YEAR(calls[[#This Row],[Date of Call]]), YEAR(calls[[#This Row],[Date of Call]])+1)</f>
        <v>2024</v>
      </c>
      <c r="J688" t="str">
        <f>TEXT(calls[[#This Row],[Date of Call]],"DDDD")</f>
        <v>Thursday</v>
      </c>
      <c r="K688" t="str" cm="1">
        <f t="array" ref="K68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88">
        <f>ROUND(calls[[#This Row],[Satisfaction Rating]],0)</f>
        <v>4</v>
      </c>
    </row>
    <row r="689" spans="2:12">
      <c r="B689" t="s">
        <v>711</v>
      </c>
      <c r="C689" t="s">
        <v>16</v>
      </c>
      <c r="D689">
        <v>73</v>
      </c>
      <c r="E689" s="17" t="s">
        <v>13</v>
      </c>
      <c r="F689" s="18">
        <v>45163</v>
      </c>
      <c r="G689">
        <v>44</v>
      </c>
      <c r="H689">
        <v>3.8</v>
      </c>
      <c r="I689">
        <f>IF(MONTH(calls[[#This Row],[Date of Call]])&lt;=6, YEAR(calls[[#This Row],[Date of Call]]), YEAR(calls[[#This Row],[Date of Call]])+1)</f>
        <v>2024</v>
      </c>
      <c r="J689" t="str">
        <f>TEXT(calls[[#This Row],[Date of Call]],"DDDD")</f>
        <v>Friday</v>
      </c>
      <c r="K689" t="str" cm="1">
        <f t="array" ref="K6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9">
        <f>ROUND(calls[[#This Row],[Satisfaction Rating]],0)</f>
        <v>4</v>
      </c>
    </row>
    <row r="690" spans="2:12">
      <c r="B690" t="s">
        <v>712</v>
      </c>
      <c r="C690" t="s">
        <v>21</v>
      </c>
      <c r="D690">
        <v>108</v>
      </c>
      <c r="E690" s="17" t="s">
        <v>9</v>
      </c>
      <c r="F690" s="18">
        <v>45163</v>
      </c>
      <c r="G690">
        <v>80</v>
      </c>
      <c r="H690">
        <v>4.3</v>
      </c>
      <c r="I690">
        <f>IF(MONTH(calls[[#This Row],[Date of Call]])&lt;=6, YEAR(calls[[#This Row],[Date of Call]]), YEAR(calls[[#This Row],[Date of Call]])+1)</f>
        <v>2024</v>
      </c>
      <c r="J690" t="str">
        <f>TEXT(calls[[#This Row],[Date of Call]],"DDDD")</f>
        <v>Friday</v>
      </c>
      <c r="K690" t="str" cm="1">
        <f t="array" ref="K6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0">
        <f>ROUND(calls[[#This Row],[Satisfaction Rating]],0)</f>
        <v>4</v>
      </c>
    </row>
    <row r="691" spans="2:12">
      <c r="B691" t="s">
        <v>713</v>
      </c>
      <c r="C691" t="s">
        <v>7</v>
      </c>
      <c r="D691">
        <v>52</v>
      </c>
      <c r="E691" s="17" t="s">
        <v>9</v>
      </c>
      <c r="F691" s="18">
        <v>45164</v>
      </c>
      <c r="G691">
        <v>66</v>
      </c>
      <c r="H691">
        <v>4.5</v>
      </c>
      <c r="I691">
        <f>IF(MONTH(calls[[#This Row],[Date of Call]])&lt;=6, YEAR(calls[[#This Row],[Date of Call]]), YEAR(calls[[#This Row],[Date of Call]])+1)</f>
        <v>2024</v>
      </c>
      <c r="J691" t="str">
        <f>TEXT(calls[[#This Row],[Date of Call]],"DDDD")</f>
        <v>Saturday</v>
      </c>
      <c r="K691" t="str" cm="1">
        <f t="array" ref="K69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91">
        <f>ROUND(calls[[#This Row],[Satisfaction Rating]],0)</f>
        <v>5</v>
      </c>
    </row>
    <row r="692" spans="2:12">
      <c r="B692" t="s">
        <v>714</v>
      </c>
      <c r="C692" t="s">
        <v>17</v>
      </c>
      <c r="D692">
        <v>165</v>
      </c>
      <c r="E692" s="17" t="s">
        <v>6</v>
      </c>
      <c r="F692" s="18">
        <v>45164</v>
      </c>
      <c r="G692">
        <v>82</v>
      </c>
      <c r="H692">
        <v>3.4</v>
      </c>
      <c r="I692">
        <f>IF(MONTH(calls[[#This Row],[Date of Call]])&lt;=6, YEAR(calls[[#This Row],[Date of Call]]), YEAR(calls[[#This Row],[Date of Call]])+1)</f>
        <v>2024</v>
      </c>
      <c r="J692" t="str">
        <f>TEXT(calls[[#This Row],[Date of Call]],"DDDD")</f>
        <v>Saturday</v>
      </c>
      <c r="K692" t="str" cm="1">
        <f t="array" ref="K69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92">
        <f>ROUND(calls[[#This Row],[Satisfaction Rating]],0)</f>
        <v>3</v>
      </c>
    </row>
    <row r="693" spans="2:12">
      <c r="B693" t="s">
        <v>715</v>
      </c>
      <c r="C693" t="s">
        <v>15</v>
      </c>
      <c r="D693">
        <v>104</v>
      </c>
      <c r="E693" s="17" t="s">
        <v>13</v>
      </c>
      <c r="F693" s="18">
        <v>45164</v>
      </c>
      <c r="G693">
        <v>66</v>
      </c>
      <c r="H693">
        <v>4.8</v>
      </c>
      <c r="I693">
        <f>IF(MONTH(calls[[#This Row],[Date of Call]])&lt;=6, YEAR(calls[[#This Row],[Date of Call]]), YEAR(calls[[#This Row],[Date of Call]])+1)</f>
        <v>2024</v>
      </c>
      <c r="J693" t="str">
        <f>TEXT(calls[[#This Row],[Date of Call]],"DDDD")</f>
        <v>Saturday</v>
      </c>
      <c r="K693" t="str" cm="1">
        <f t="array" ref="K6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3">
        <f>ROUND(calls[[#This Row],[Satisfaction Rating]],0)</f>
        <v>5</v>
      </c>
    </row>
    <row r="694" spans="2:12">
      <c r="B694" t="s">
        <v>716</v>
      </c>
      <c r="C694" t="s">
        <v>16</v>
      </c>
      <c r="D694">
        <v>131</v>
      </c>
      <c r="E694" s="17" t="s">
        <v>11</v>
      </c>
      <c r="F694" s="18">
        <v>45164</v>
      </c>
      <c r="G694">
        <v>92</v>
      </c>
      <c r="H694">
        <v>4.9000000000000004</v>
      </c>
      <c r="I694">
        <f>IF(MONTH(calls[[#This Row],[Date of Call]])&lt;=6, YEAR(calls[[#This Row],[Date of Call]]), YEAR(calls[[#This Row],[Date of Call]])+1)</f>
        <v>2024</v>
      </c>
      <c r="J694" t="str">
        <f>TEXT(calls[[#This Row],[Date of Call]],"DDDD")</f>
        <v>Saturday</v>
      </c>
      <c r="K694" t="str" cm="1">
        <f t="array" ref="K6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94">
        <f>ROUND(calls[[#This Row],[Satisfaction Rating]],0)</f>
        <v>5</v>
      </c>
    </row>
    <row r="695" spans="2:12">
      <c r="B695" t="s">
        <v>717</v>
      </c>
      <c r="C695" t="s">
        <v>19</v>
      </c>
      <c r="D695">
        <v>80</v>
      </c>
      <c r="E695" s="17" t="s">
        <v>6</v>
      </c>
      <c r="F695" s="18">
        <v>45165</v>
      </c>
      <c r="G695">
        <v>104</v>
      </c>
      <c r="H695">
        <v>4.7</v>
      </c>
      <c r="I695">
        <f>IF(MONTH(calls[[#This Row],[Date of Call]])&lt;=6, YEAR(calls[[#This Row],[Date of Call]]), YEAR(calls[[#This Row],[Date of Call]])+1)</f>
        <v>2024</v>
      </c>
      <c r="J695" t="str">
        <f>TEXT(calls[[#This Row],[Date of Call]],"DDDD")</f>
        <v>Sunday</v>
      </c>
      <c r="K695" t="str" cm="1">
        <f t="array" ref="K6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5">
        <f>ROUND(calls[[#This Row],[Satisfaction Rating]],0)</f>
        <v>5</v>
      </c>
    </row>
    <row r="696" spans="2:12">
      <c r="B696" t="s">
        <v>718</v>
      </c>
      <c r="C696" t="s">
        <v>8</v>
      </c>
      <c r="D696">
        <v>49</v>
      </c>
      <c r="E696" s="17" t="s">
        <v>13</v>
      </c>
      <c r="F696" s="18">
        <v>45165</v>
      </c>
      <c r="G696">
        <v>105</v>
      </c>
      <c r="H696">
        <v>3.3</v>
      </c>
      <c r="I696">
        <f>IF(MONTH(calls[[#This Row],[Date of Call]])&lt;=6, YEAR(calls[[#This Row],[Date of Call]]), YEAR(calls[[#This Row],[Date of Call]])+1)</f>
        <v>2024</v>
      </c>
      <c r="J696" t="str">
        <f>TEXT(calls[[#This Row],[Date of Call]],"DDDD")</f>
        <v>Sunday</v>
      </c>
      <c r="K696" t="str" cm="1">
        <f t="array" ref="K69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96">
        <f>ROUND(calls[[#This Row],[Satisfaction Rating]],0)</f>
        <v>3</v>
      </c>
    </row>
    <row r="697" spans="2:12">
      <c r="B697" t="s">
        <v>719</v>
      </c>
      <c r="C697" t="s">
        <v>17</v>
      </c>
      <c r="D697">
        <v>73</v>
      </c>
      <c r="E697" s="17" t="s">
        <v>13</v>
      </c>
      <c r="F697" s="18">
        <v>45165</v>
      </c>
      <c r="G697">
        <v>100</v>
      </c>
      <c r="H697">
        <v>2.8</v>
      </c>
      <c r="I697">
        <f>IF(MONTH(calls[[#This Row],[Date of Call]])&lt;=6, YEAR(calls[[#This Row],[Date of Call]]), YEAR(calls[[#This Row],[Date of Call]])+1)</f>
        <v>2024</v>
      </c>
      <c r="J697" t="str">
        <f>TEXT(calls[[#This Row],[Date of Call]],"DDDD")</f>
        <v>Sunday</v>
      </c>
      <c r="K697" t="str" cm="1">
        <f t="array" ref="K6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7">
        <f>ROUND(calls[[#This Row],[Satisfaction Rating]],0)</f>
        <v>3</v>
      </c>
    </row>
    <row r="698" spans="2:12">
      <c r="B698" t="s">
        <v>720</v>
      </c>
      <c r="C698" t="s">
        <v>15</v>
      </c>
      <c r="D698">
        <v>117</v>
      </c>
      <c r="E698" s="17" t="s">
        <v>6</v>
      </c>
      <c r="F698" s="18">
        <v>45165</v>
      </c>
      <c r="G698">
        <v>90</v>
      </c>
      <c r="H698">
        <v>4.0999999999999996</v>
      </c>
      <c r="I698">
        <f>IF(MONTH(calls[[#This Row],[Date of Call]])&lt;=6, YEAR(calls[[#This Row],[Date of Call]]), YEAR(calls[[#This Row],[Date of Call]])+1)</f>
        <v>2024</v>
      </c>
      <c r="J698" t="str">
        <f>TEXT(calls[[#This Row],[Date of Call]],"DDDD")</f>
        <v>Sunday</v>
      </c>
      <c r="K698" t="str" cm="1">
        <f t="array" ref="K6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8">
        <f>ROUND(calls[[#This Row],[Satisfaction Rating]],0)</f>
        <v>4</v>
      </c>
    </row>
    <row r="699" spans="2:12">
      <c r="B699" t="s">
        <v>721</v>
      </c>
      <c r="C699" t="s">
        <v>23</v>
      </c>
      <c r="D699">
        <v>38</v>
      </c>
      <c r="E699" s="17" t="s">
        <v>10</v>
      </c>
      <c r="F699" s="18">
        <v>45165</v>
      </c>
      <c r="G699">
        <v>110</v>
      </c>
      <c r="H699">
        <v>3.5</v>
      </c>
      <c r="I699">
        <f>IF(MONTH(calls[[#This Row],[Date of Call]])&lt;=6, YEAR(calls[[#This Row],[Date of Call]]), YEAR(calls[[#This Row],[Date of Call]])+1)</f>
        <v>2024</v>
      </c>
      <c r="J699" t="str">
        <f>TEXT(calls[[#This Row],[Date of Call]],"DDDD")</f>
        <v>Sunday</v>
      </c>
      <c r="K699" t="str" cm="1">
        <f t="array" ref="K6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99">
        <f>ROUND(calls[[#This Row],[Satisfaction Rating]],0)</f>
        <v>4</v>
      </c>
    </row>
    <row r="700" spans="2:12">
      <c r="B700" t="s">
        <v>722</v>
      </c>
      <c r="C700" t="s">
        <v>7</v>
      </c>
      <c r="D700">
        <v>109</v>
      </c>
      <c r="E700" s="17" t="s">
        <v>6</v>
      </c>
      <c r="F700" s="18">
        <v>45167</v>
      </c>
      <c r="G700">
        <v>68</v>
      </c>
      <c r="H700">
        <v>2.2999999999999998</v>
      </c>
      <c r="I700">
        <f>IF(MONTH(calls[[#This Row],[Date of Call]])&lt;=6, YEAR(calls[[#This Row],[Date of Call]]), YEAR(calls[[#This Row],[Date of Call]])+1)</f>
        <v>2024</v>
      </c>
      <c r="J700" t="str">
        <f>TEXT(calls[[#This Row],[Date of Call]],"DDDD")</f>
        <v>Tuesday</v>
      </c>
      <c r="K700" t="str" cm="1">
        <f t="array" ref="K7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0">
        <f>ROUND(calls[[#This Row],[Satisfaction Rating]],0)</f>
        <v>2</v>
      </c>
    </row>
    <row r="701" spans="2:12">
      <c r="B701" t="s">
        <v>723</v>
      </c>
      <c r="C701" t="s">
        <v>8</v>
      </c>
      <c r="D701">
        <v>70</v>
      </c>
      <c r="E701" s="17" t="s">
        <v>9</v>
      </c>
      <c r="F701" s="18">
        <v>45168</v>
      </c>
      <c r="G701">
        <v>210</v>
      </c>
      <c r="H701">
        <v>4.0999999999999996</v>
      </c>
      <c r="I701">
        <f>IF(MONTH(calls[[#This Row],[Date of Call]])&lt;=6, YEAR(calls[[#This Row],[Date of Call]]), YEAR(calls[[#This Row],[Date of Call]])+1)</f>
        <v>2024</v>
      </c>
      <c r="J701" t="str">
        <f>TEXT(calls[[#This Row],[Date of Call]],"DDDD")</f>
        <v>Wednesday</v>
      </c>
      <c r="K701" t="str" cm="1">
        <f t="array" ref="K7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1">
        <f>ROUND(calls[[#This Row],[Satisfaction Rating]],0)</f>
        <v>4</v>
      </c>
    </row>
    <row r="702" spans="2:12">
      <c r="B702" t="s">
        <v>724</v>
      </c>
      <c r="C702" t="s">
        <v>12</v>
      </c>
      <c r="D702">
        <v>51</v>
      </c>
      <c r="E702" s="17" t="s">
        <v>10</v>
      </c>
      <c r="F702" s="18">
        <v>45168</v>
      </c>
      <c r="G702">
        <v>111</v>
      </c>
      <c r="H702">
        <v>4.3</v>
      </c>
      <c r="I702">
        <f>IF(MONTH(calls[[#This Row],[Date of Call]])&lt;=6, YEAR(calls[[#This Row],[Date of Call]]), YEAR(calls[[#This Row],[Date of Call]])+1)</f>
        <v>2024</v>
      </c>
      <c r="J702" t="str">
        <f>TEXT(calls[[#This Row],[Date of Call]],"DDDD")</f>
        <v>Wednesday</v>
      </c>
      <c r="K702" t="str" cm="1">
        <f t="array" ref="K70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02">
        <f>ROUND(calls[[#This Row],[Satisfaction Rating]],0)</f>
        <v>4</v>
      </c>
    </row>
    <row r="703" spans="2:12">
      <c r="B703" t="s">
        <v>725</v>
      </c>
      <c r="C703" t="s">
        <v>12</v>
      </c>
      <c r="D703">
        <v>100</v>
      </c>
      <c r="E703" s="17" t="s">
        <v>9</v>
      </c>
      <c r="F703" s="18">
        <v>45169</v>
      </c>
      <c r="G703">
        <v>45</v>
      </c>
      <c r="H703">
        <v>4.9000000000000004</v>
      </c>
      <c r="I703">
        <f>IF(MONTH(calls[[#This Row],[Date of Call]])&lt;=6, YEAR(calls[[#This Row],[Date of Call]]), YEAR(calls[[#This Row],[Date of Call]])+1)</f>
        <v>2024</v>
      </c>
      <c r="J703" t="str">
        <f>TEXT(calls[[#This Row],[Date of Call]],"DDDD")</f>
        <v>Thursday</v>
      </c>
      <c r="K703" t="str" cm="1">
        <f t="array" ref="K7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3">
        <f>ROUND(calls[[#This Row],[Satisfaction Rating]],0)</f>
        <v>5</v>
      </c>
    </row>
    <row r="704" spans="2:12">
      <c r="B704" t="s">
        <v>726</v>
      </c>
      <c r="C704" t="s">
        <v>14</v>
      </c>
      <c r="D704">
        <v>124</v>
      </c>
      <c r="E704" s="17" t="s">
        <v>10</v>
      </c>
      <c r="F704" s="18">
        <v>45170</v>
      </c>
      <c r="G704">
        <v>132</v>
      </c>
      <c r="H704">
        <v>4</v>
      </c>
      <c r="I704">
        <f>IF(MONTH(calls[[#This Row],[Date of Call]])&lt;=6, YEAR(calls[[#This Row],[Date of Call]]), YEAR(calls[[#This Row],[Date of Call]])+1)</f>
        <v>2024</v>
      </c>
      <c r="J704" t="str">
        <f>TEXT(calls[[#This Row],[Date of Call]],"DDDD")</f>
        <v>Friday</v>
      </c>
      <c r="K704" t="str" cm="1">
        <f t="array" ref="K70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04">
        <f>ROUND(calls[[#This Row],[Satisfaction Rating]],0)</f>
        <v>4</v>
      </c>
    </row>
    <row r="705" spans="2:12">
      <c r="B705" t="s">
        <v>727</v>
      </c>
      <c r="C705" t="s">
        <v>20</v>
      </c>
      <c r="D705">
        <v>143</v>
      </c>
      <c r="E705" s="17" t="s">
        <v>6</v>
      </c>
      <c r="F705" s="18">
        <v>45170</v>
      </c>
      <c r="G705">
        <v>20</v>
      </c>
      <c r="H705">
        <v>4.7</v>
      </c>
      <c r="I705">
        <f>IF(MONTH(calls[[#This Row],[Date of Call]])&lt;=6, YEAR(calls[[#This Row],[Date of Call]]), YEAR(calls[[#This Row],[Date of Call]])+1)</f>
        <v>2024</v>
      </c>
      <c r="J705" t="str">
        <f>TEXT(calls[[#This Row],[Date of Call]],"DDDD")</f>
        <v>Friday</v>
      </c>
      <c r="K705" t="str" cm="1">
        <f t="array" ref="K70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05">
        <f>ROUND(calls[[#This Row],[Satisfaction Rating]],0)</f>
        <v>5</v>
      </c>
    </row>
    <row r="706" spans="2:12">
      <c r="B706" t="s">
        <v>728</v>
      </c>
      <c r="C706" t="s">
        <v>18</v>
      </c>
      <c r="D706">
        <v>96</v>
      </c>
      <c r="E706" s="17" t="s">
        <v>13</v>
      </c>
      <c r="F706" s="18">
        <v>45170</v>
      </c>
      <c r="G706">
        <v>36</v>
      </c>
      <c r="H706">
        <v>3.4</v>
      </c>
      <c r="I706">
        <f>IF(MONTH(calls[[#This Row],[Date of Call]])&lt;=6, YEAR(calls[[#This Row],[Date of Call]]), YEAR(calls[[#This Row],[Date of Call]])+1)</f>
        <v>2024</v>
      </c>
      <c r="J706" t="str">
        <f>TEXT(calls[[#This Row],[Date of Call]],"DDDD")</f>
        <v>Friday</v>
      </c>
      <c r="K706" t="str" cm="1">
        <f t="array" ref="K7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6">
        <f>ROUND(calls[[#This Row],[Satisfaction Rating]],0)</f>
        <v>3</v>
      </c>
    </row>
    <row r="707" spans="2:12">
      <c r="B707" t="s">
        <v>729</v>
      </c>
      <c r="C707" t="s">
        <v>17</v>
      </c>
      <c r="D707">
        <v>84</v>
      </c>
      <c r="E707" s="17" t="s">
        <v>9</v>
      </c>
      <c r="F707" s="18">
        <v>45172</v>
      </c>
      <c r="G707">
        <v>72</v>
      </c>
      <c r="H707">
        <v>4</v>
      </c>
      <c r="I707">
        <f>IF(MONTH(calls[[#This Row],[Date of Call]])&lt;=6, YEAR(calls[[#This Row],[Date of Call]]), YEAR(calls[[#This Row],[Date of Call]])+1)</f>
        <v>2024</v>
      </c>
      <c r="J707" t="str">
        <f>TEXT(calls[[#This Row],[Date of Call]],"DDDD")</f>
        <v>Sunday</v>
      </c>
      <c r="K707" t="str" cm="1">
        <f t="array" ref="K7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7">
        <f>ROUND(calls[[#This Row],[Satisfaction Rating]],0)</f>
        <v>4</v>
      </c>
    </row>
    <row r="708" spans="2:12">
      <c r="B708" t="s">
        <v>730</v>
      </c>
      <c r="C708" t="s">
        <v>22</v>
      </c>
      <c r="D708">
        <v>111</v>
      </c>
      <c r="E708" s="17" t="s">
        <v>9</v>
      </c>
      <c r="F708" s="18">
        <v>45172</v>
      </c>
      <c r="G708">
        <v>63</v>
      </c>
      <c r="H708">
        <v>4.5</v>
      </c>
      <c r="I708">
        <f>IF(MONTH(calls[[#This Row],[Date of Call]])&lt;=6, YEAR(calls[[#This Row],[Date of Call]]), YEAR(calls[[#This Row],[Date of Call]])+1)</f>
        <v>2024</v>
      </c>
      <c r="J708" t="str">
        <f>TEXT(calls[[#This Row],[Date of Call]],"DDDD")</f>
        <v>Sunday</v>
      </c>
      <c r="K708" t="str" cm="1">
        <f t="array" ref="K7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8">
        <f>ROUND(calls[[#This Row],[Satisfaction Rating]],0)</f>
        <v>5</v>
      </c>
    </row>
    <row r="709" spans="2:12">
      <c r="B709" t="s">
        <v>731</v>
      </c>
      <c r="C709" t="s">
        <v>22</v>
      </c>
      <c r="D709">
        <v>103</v>
      </c>
      <c r="E709" s="17" t="s">
        <v>10</v>
      </c>
      <c r="F709" s="18">
        <v>45173</v>
      </c>
      <c r="G709">
        <v>44</v>
      </c>
      <c r="H709">
        <v>4.5</v>
      </c>
      <c r="I709">
        <f>IF(MONTH(calls[[#This Row],[Date of Call]])&lt;=6, YEAR(calls[[#This Row],[Date of Call]]), YEAR(calls[[#This Row],[Date of Call]])+1)</f>
        <v>2024</v>
      </c>
      <c r="J709" t="str">
        <f>TEXT(calls[[#This Row],[Date of Call]],"DDDD")</f>
        <v>Monday</v>
      </c>
      <c r="K709" t="str" cm="1">
        <f t="array" ref="K7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9">
        <f>ROUND(calls[[#This Row],[Satisfaction Rating]],0)</f>
        <v>5</v>
      </c>
    </row>
    <row r="710" spans="2:12">
      <c r="B710" t="s">
        <v>732</v>
      </c>
      <c r="C710" t="s">
        <v>20</v>
      </c>
      <c r="D710">
        <v>61</v>
      </c>
      <c r="E710" s="17" t="s">
        <v>11</v>
      </c>
      <c r="F710" s="18">
        <v>45173</v>
      </c>
      <c r="G710">
        <v>132</v>
      </c>
      <c r="H710">
        <v>4.9000000000000004</v>
      </c>
      <c r="I710">
        <f>IF(MONTH(calls[[#This Row],[Date of Call]])&lt;=6, YEAR(calls[[#This Row],[Date of Call]]), YEAR(calls[[#This Row],[Date of Call]])+1)</f>
        <v>2024</v>
      </c>
      <c r="J710" t="str">
        <f>TEXT(calls[[#This Row],[Date of Call]],"DDDD")</f>
        <v>Monday</v>
      </c>
      <c r="K710" t="str" cm="1">
        <f t="array" ref="K7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0">
        <f>ROUND(calls[[#This Row],[Satisfaction Rating]],0)</f>
        <v>5</v>
      </c>
    </row>
    <row r="711" spans="2:12">
      <c r="B711" t="s">
        <v>733</v>
      </c>
      <c r="C711" t="s">
        <v>16</v>
      </c>
      <c r="D711">
        <v>113</v>
      </c>
      <c r="E711" s="17" t="s">
        <v>13</v>
      </c>
      <c r="F711" s="18">
        <v>45173</v>
      </c>
      <c r="G711">
        <v>46</v>
      </c>
      <c r="H711">
        <v>4.4000000000000004</v>
      </c>
      <c r="I711">
        <f>IF(MONTH(calls[[#This Row],[Date of Call]])&lt;=6, YEAR(calls[[#This Row],[Date of Call]]), YEAR(calls[[#This Row],[Date of Call]])+1)</f>
        <v>2024</v>
      </c>
      <c r="J711" t="str">
        <f>TEXT(calls[[#This Row],[Date of Call]],"DDDD")</f>
        <v>Monday</v>
      </c>
      <c r="K711" t="str" cm="1">
        <f t="array" ref="K7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1">
        <f>ROUND(calls[[#This Row],[Satisfaction Rating]],0)</f>
        <v>4</v>
      </c>
    </row>
    <row r="712" spans="2:12">
      <c r="B712" t="s">
        <v>734</v>
      </c>
      <c r="C712" t="s">
        <v>16</v>
      </c>
      <c r="D712">
        <v>96</v>
      </c>
      <c r="E712" s="17" t="s">
        <v>13</v>
      </c>
      <c r="F712" s="18">
        <v>45173</v>
      </c>
      <c r="G712">
        <v>96</v>
      </c>
      <c r="H712">
        <v>2.9</v>
      </c>
      <c r="I712">
        <f>IF(MONTH(calls[[#This Row],[Date of Call]])&lt;=6, YEAR(calls[[#This Row],[Date of Call]]), YEAR(calls[[#This Row],[Date of Call]])+1)</f>
        <v>2024</v>
      </c>
      <c r="J712" t="str">
        <f>TEXT(calls[[#This Row],[Date of Call]],"DDDD")</f>
        <v>Monday</v>
      </c>
      <c r="K712" t="str" cm="1">
        <f t="array" ref="K7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2">
        <f>ROUND(calls[[#This Row],[Satisfaction Rating]],0)</f>
        <v>3</v>
      </c>
    </row>
    <row r="713" spans="2:12">
      <c r="B713" t="s">
        <v>735</v>
      </c>
      <c r="C713" t="s">
        <v>24</v>
      </c>
      <c r="D713">
        <v>131</v>
      </c>
      <c r="E713" s="17" t="s">
        <v>10</v>
      </c>
      <c r="F713" s="18">
        <v>45174</v>
      </c>
      <c r="G713">
        <v>75</v>
      </c>
      <c r="H713">
        <v>4.4000000000000004</v>
      </c>
      <c r="I713">
        <f>IF(MONTH(calls[[#This Row],[Date of Call]])&lt;=6, YEAR(calls[[#This Row],[Date of Call]]), YEAR(calls[[#This Row],[Date of Call]])+1)</f>
        <v>2024</v>
      </c>
      <c r="J713" t="str">
        <f>TEXT(calls[[#This Row],[Date of Call]],"DDDD")</f>
        <v>Tuesday</v>
      </c>
      <c r="K713" t="str" cm="1">
        <f t="array" ref="K71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13">
        <f>ROUND(calls[[#This Row],[Satisfaction Rating]],0)</f>
        <v>4</v>
      </c>
    </row>
    <row r="714" spans="2:12">
      <c r="B714" t="s">
        <v>736</v>
      </c>
      <c r="C714" t="s">
        <v>15</v>
      </c>
      <c r="D714">
        <v>52</v>
      </c>
      <c r="E714" s="17" t="s">
        <v>13</v>
      </c>
      <c r="F714" s="18">
        <v>45175</v>
      </c>
      <c r="G714">
        <v>88</v>
      </c>
      <c r="H714">
        <v>4.3</v>
      </c>
      <c r="I714">
        <f>IF(MONTH(calls[[#This Row],[Date of Call]])&lt;=6, YEAR(calls[[#This Row],[Date of Call]]), YEAR(calls[[#This Row],[Date of Call]])+1)</f>
        <v>2024</v>
      </c>
      <c r="J714" t="str">
        <f>TEXT(calls[[#This Row],[Date of Call]],"DDDD")</f>
        <v>Wednesday</v>
      </c>
      <c r="K714" t="str" cm="1">
        <f t="array" ref="K71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14">
        <f>ROUND(calls[[#This Row],[Satisfaction Rating]],0)</f>
        <v>4</v>
      </c>
    </row>
    <row r="715" spans="2:12">
      <c r="B715" t="s">
        <v>737</v>
      </c>
      <c r="C715" t="s">
        <v>12</v>
      </c>
      <c r="D715">
        <v>100</v>
      </c>
      <c r="E715" s="17" t="s">
        <v>10</v>
      </c>
      <c r="F715" s="18">
        <v>45175</v>
      </c>
      <c r="G715">
        <v>24</v>
      </c>
      <c r="H715">
        <v>4.7</v>
      </c>
      <c r="I715">
        <f>IF(MONTH(calls[[#This Row],[Date of Call]])&lt;=6, YEAR(calls[[#This Row],[Date of Call]]), YEAR(calls[[#This Row],[Date of Call]])+1)</f>
        <v>2024</v>
      </c>
      <c r="J715" t="str">
        <f>TEXT(calls[[#This Row],[Date of Call]],"DDDD")</f>
        <v>Wednesday</v>
      </c>
      <c r="K715" t="str" cm="1">
        <f t="array" ref="K7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5">
        <f>ROUND(calls[[#This Row],[Satisfaction Rating]],0)</f>
        <v>5</v>
      </c>
    </row>
    <row r="716" spans="2:12">
      <c r="B716" t="s">
        <v>738</v>
      </c>
      <c r="C716" t="s">
        <v>21</v>
      </c>
      <c r="D716">
        <v>58</v>
      </c>
      <c r="E716" s="17" t="s">
        <v>6</v>
      </c>
      <c r="F716" s="18">
        <v>45175</v>
      </c>
      <c r="G716">
        <v>96</v>
      </c>
      <c r="H716">
        <v>3.2</v>
      </c>
      <c r="I716">
        <f>IF(MONTH(calls[[#This Row],[Date of Call]])&lt;=6, YEAR(calls[[#This Row],[Date of Call]]), YEAR(calls[[#This Row],[Date of Call]])+1)</f>
        <v>2024</v>
      </c>
      <c r="J716" t="str">
        <f>TEXT(calls[[#This Row],[Date of Call]],"DDDD")</f>
        <v>Wednesday</v>
      </c>
      <c r="K716" t="str" cm="1">
        <f t="array" ref="K71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16">
        <f>ROUND(calls[[#This Row],[Satisfaction Rating]],0)</f>
        <v>3</v>
      </c>
    </row>
    <row r="717" spans="2:12">
      <c r="B717" t="s">
        <v>739</v>
      </c>
      <c r="C717" t="s">
        <v>8</v>
      </c>
      <c r="D717">
        <v>144</v>
      </c>
      <c r="E717" s="17" t="s">
        <v>6</v>
      </c>
      <c r="F717" s="18">
        <v>45176</v>
      </c>
      <c r="G717">
        <v>124</v>
      </c>
      <c r="H717">
        <v>2.2999999999999998</v>
      </c>
      <c r="I717">
        <f>IF(MONTH(calls[[#This Row],[Date of Call]])&lt;=6, YEAR(calls[[#This Row],[Date of Call]]), YEAR(calls[[#This Row],[Date of Call]])+1)</f>
        <v>2024</v>
      </c>
      <c r="J717" t="str">
        <f>TEXT(calls[[#This Row],[Date of Call]],"DDDD")</f>
        <v>Thursday</v>
      </c>
      <c r="K717" t="str" cm="1">
        <f t="array" ref="K7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17">
        <f>ROUND(calls[[#This Row],[Satisfaction Rating]],0)</f>
        <v>2</v>
      </c>
    </row>
    <row r="718" spans="2:12">
      <c r="B718" t="s">
        <v>740</v>
      </c>
      <c r="C718" t="s">
        <v>21</v>
      </c>
      <c r="D718">
        <v>53</v>
      </c>
      <c r="E718" s="17" t="s">
        <v>11</v>
      </c>
      <c r="F718" s="18">
        <v>45177</v>
      </c>
      <c r="G718">
        <v>130</v>
      </c>
      <c r="H718">
        <v>3.6</v>
      </c>
      <c r="I718">
        <f>IF(MONTH(calls[[#This Row],[Date of Call]])&lt;=6, YEAR(calls[[#This Row],[Date of Call]]), YEAR(calls[[#This Row],[Date of Call]])+1)</f>
        <v>2024</v>
      </c>
      <c r="J718" t="str">
        <f>TEXT(calls[[#This Row],[Date of Call]],"DDDD")</f>
        <v>Friday</v>
      </c>
      <c r="K718" t="str" cm="1">
        <f t="array" ref="K7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18">
        <f>ROUND(calls[[#This Row],[Satisfaction Rating]],0)</f>
        <v>4</v>
      </c>
    </row>
    <row r="719" spans="2:12">
      <c r="B719" t="s">
        <v>741</v>
      </c>
      <c r="C719" t="s">
        <v>16</v>
      </c>
      <c r="D719">
        <v>97</v>
      </c>
      <c r="E719" s="17" t="s">
        <v>9</v>
      </c>
      <c r="F719" s="18">
        <v>45177</v>
      </c>
      <c r="G719">
        <v>45</v>
      </c>
      <c r="H719">
        <v>4.5999999999999996</v>
      </c>
      <c r="I719">
        <f>IF(MONTH(calls[[#This Row],[Date of Call]])&lt;=6, YEAR(calls[[#This Row],[Date of Call]]), YEAR(calls[[#This Row],[Date of Call]])+1)</f>
        <v>2024</v>
      </c>
      <c r="J719" t="str">
        <f>TEXT(calls[[#This Row],[Date of Call]],"DDDD")</f>
        <v>Friday</v>
      </c>
      <c r="K719" t="str" cm="1">
        <f t="array" ref="K7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9">
        <f>ROUND(calls[[#This Row],[Satisfaction Rating]],0)</f>
        <v>5</v>
      </c>
    </row>
    <row r="720" spans="2:12">
      <c r="B720" t="s">
        <v>742</v>
      </c>
      <c r="C720" t="s">
        <v>23</v>
      </c>
      <c r="D720">
        <v>64</v>
      </c>
      <c r="E720" s="17" t="s">
        <v>6</v>
      </c>
      <c r="F720" s="18">
        <v>45177</v>
      </c>
      <c r="G720">
        <v>66</v>
      </c>
      <c r="H720">
        <v>4</v>
      </c>
      <c r="I720">
        <f>IF(MONTH(calls[[#This Row],[Date of Call]])&lt;=6, YEAR(calls[[#This Row],[Date of Call]]), YEAR(calls[[#This Row],[Date of Call]])+1)</f>
        <v>2024</v>
      </c>
      <c r="J720" t="str">
        <f>TEXT(calls[[#This Row],[Date of Call]],"DDDD")</f>
        <v>Friday</v>
      </c>
      <c r="K720" t="str" cm="1">
        <f t="array" ref="K7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0">
        <f>ROUND(calls[[#This Row],[Satisfaction Rating]],0)</f>
        <v>4</v>
      </c>
    </row>
    <row r="721" spans="2:12">
      <c r="B721" t="s">
        <v>743</v>
      </c>
      <c r="C721" t="s">
        <v>20</v>
      </c>
      <c r="D721">
        <v>106</v>
      </c>
      <c r="E721" s="17" t="s">
        <v>10</v>
      </c>
      <c r="F721" s="18">
        <v>45177</v>
      </c>
      <c r="G721">
        <v>58</v>
      </c>
      <c r="H721">
        <v>4.7</v>
      </c>
      <c r="I721">
        <f>IF(MONTH(calls[[#This Row],[Date of Call]])&lt;=6, YEAR(calls[[#This Row],[Date of Call]]), YEAR(calls[[#This Row],[Date of Call]])+1)</f>
        <v>2024</v>
      </c>
      <c r="J721" t="str">
        <f>TEXT(calls[[#This Row],[Date of Call]],"DDDD")</f>
        <v>Friday</v>
      </c>
      <c r="K721" t="str" cm="1">
        <f t="array" ref="K7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1">
        <f>ROUND(calls[[#This Row],[Satisfaction Rating]],0)</f>
        <v>5</v>
      </c>
    </row>
    <row r="722" spans="2:12">
      <c r="B722" t="s">
        <v>744</v>
      </c>
      <c r="C722" t="s">
        <v>17</v>
      </c>
      <c r="D722">
        <v>36</v>
      </c>
      <c r="E722" s="17" t="s">
        <v>6</v>
      </c>
      <c r="F722" s="18">
        <v>45178</v>
      </c>
      <c r="G722">
        <v>152</v>
      </c>
      <c r="H722">
        <v>4.3</v>
      </c>
      <c r="I722">
        <f>IF(MONTH(calls[[#This Row],[Date of Call]])&lt;=6, YEAR(calls[[#This Row],[Date of Call]]), YEAR(calls[[#This Row],[Date of Call]])+1)</f>
        <v>2024</v>
      </c>
      <c r="J722" t="str">
        <f>TEXT(calls[[#This Row],[Date of Call]],"DDDD")</f>
        <v>Saturday</v>
      </c>
      <c r="K722" t="str" cm="1">
        <f t="array" ref="K7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22">
        <f>ROUND(calls[[#This Row],[Satisfaction Rating]],0)</f>
        <v>4</v>
      </c>
    </row>
    <row r="723" spans="2:12">
      <c r="B723" t="s">
        <v>745</v>
      </c>
      <c r="C723" t="s">
        <v>8</v>
      </c>
      <c r="D723">
        <v>74</v>
      </c>
      <c r="E723" s="17" t="s">
        <v>13</v>
      </c>
      <c r="F723" s="18">
        <v>45178</v>
      </c>
      <c r="G723">
        <v>75</v>
      </c>
      <c r="H723">
        <v>2.8</v>
      </c>
      <c r="I723">
        <f>IF(MONTH(calls[[#This Row],[Date of Call]])&lt;=6, YEAR(calls[[#This Row],[Date of Call]]), YEAR(calls[[#This Row],[Date of Call]])+1)</f>
        <v>2024</v>
      </c>
      <c r="J723" t="str">
        <f>TEXT(calls[[#This Row],[Date of Call]],"DDDD")</f>
        <v>Saturday</v>
      </c>
      <c r="K723" t="str" cm="1">
        <f t="array" ref="K7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3">
        <f>ROUND(calls[[#This Row],[Satisfaction Rating]],0)</f>
        <v>3</v>
      </c>
    </row>
    <row r="724" spans="2:12">
      <c r="B724" t="s">
        <v>746</v>
      </c>
      <c r="C724" t="s">
        <v>7</v>
      </c>
      <c r="D724">
        <v>143</v>
      </c>
      <c r="E724" s="17" t="s">
        <v>9</v>
      </c>
      <c r="F724" s="18">
        <v>45178</v>
      </c>
      <c r="G724">
        <v>78</v>
      </c>
      <c r="H724">
        <v>4</v>
      </c>
      <c r="I724">
        <f>IF(MONTH(calls[[#This Row],[Date of Call]])&lt;=6, YEAR(calls[[#This Row],[Date of Call]]), YEAR(calls[[#This Row],[Date of Call]])+1)</f>
        <v>2024</v>
      </c>
      <c r="J724" t="str">
        <f>TEXT(calls[[#This Row],[Date of Call]],"DDDD")</f>
        <v>Saturday</v>
      </c>
      <c r="K724" t="str" cm="1">
        <f t="array" ref="K72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24">
        <f>ROUND(calls[[#This Row],[Satisfaction Rating]],0)</f>
        <v>4</v>
      </c>
    </row>
    <row r="725" spans="2:12">
      <c r="B725" t="s">
        <v>747</v>
      </c>
      <c r="C725" t="s">
        <v>20</v>
      </c>
      <c r="D725">
        <v>94</v>
      </c>
      <c r="E725" s="17" t="s">
        <v>11</v>
      </c>
      <c r="F725" s="18">
        <v>45178</v>
      </c>
      <c r="G725">
        <v>69</v>
      </c>
      <c r="H725">
        <v>3.9</v>
      </c>
      <c r="I725">
        <f>IF(MONTH(calls[[#This Row],[Date of Call]])&lt;=6, YEAR(calls[[#This Row],[Date of Call]]), YEAR(calls[[#This Row],[Date of Call]])+1)</f>
        <v>2024</v>
      </c>
      <c r="J725" t="str">
        <f>TEXT(calls[[#This Row],[Date of Call]],"DDDD")</f>
        <v>Saturday</v>
      </c>
      <c r="K725" t="str" cm="1">
        <f t="array" ref="K7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5">
        <f>ROUND(calls[[#This Row],[Satisfaction Rating]],0)</f>
        <v>4</v>
      </c>
    </row>
    <row r="726" spans="2:12">
      <c r="B726" t="s">
        <v>748</v>
      </c>
      <c r="C726" t="s">
        <v>19</v>
      </c>
      <c r="D726">
        <v>124</v>
      </c>
      <c r="E726" s="17" t="s">
        <v>10</v>
      </c>
      <c r="F726" s="18">
        <v>45179</v>
      </c>
      <c r="G726">
        <v>46</v>
      </c>
      <c r="H726">
        <v>3.1</v>
      </c>
      <c r="I726">
        <f>IF(MONTH(calls[[#This Row],[Date of Call]])&lt;=6, YEAR(calls[[#This Row],[Date of Call]]), YEAR(calls[[#This Row],[Date of Call]])+1)</f>
        <v>2024</v>
      </c>
      <c r="J726" t="str">
        <f>TEXT(calls[[#This Row],[Date of Call]],"DDDD")</f>
        <v>Sunday</v>
      </c>
      <c r="K726" t="str" cm="1">
        <f t="array" ref="K7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26">
        <f>ROUND(calls[[#This Row],[Satisfaction Rating]],0)</f>
        <v>3</v>
      </c>
    </row>
    <row r="727" spans="2:12">
      <c r="B727" t="s">
        <v>749</v>
      </c>
      <c r="C727" t="s">
        <v>17</v>
      </c>
      <c r="D727">
        <v>156</v>
      </c>
      <c r="E727" s="17" t="s">
        <v>6</v>
      </c>
      <c r="F727" s="18">
        <v>45179</v>
      </c>
      <c r="G727">
        <v>64</v>
      </c>
      <c r="H727">
        <v>2.7</v>
      </c>
      <c r="I727">
        <f>IF(MONTH(calls[[#This Row],[Date of Call]])&lt;=6, YEAR(calls[[#This Row],[Date of Call]]), YEAR(calls[[#This Row],[Date of Call]])+1)</f>
        <v>2024</v>
      </c>
      <c r="J727" t="str">
        <f>TEXT(calls[[#This Row],[Date of Call]],"DDDD")</f>
        <v>Sunday</v>
      </c>
      <c r="K727" t="str" cm="1">
        <f t="array" ref="K7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27">
        <f>ROUND(calls[[#This Row],[Satisfaction Rating]],0)</f>
        <v>3</v>
      </c>
    </row>
    <row r="728" spans="2:12">
      <c r="B728" t="s">
        <v>750</v>
      </c>
      <c r="C728" t="s">
        <v>18</v>
      </c>
      <c r="D728">
        <v>107</v>
      </c>
      <c r="E728" s="17" t="s">
        <v>9</v>
      </c>
      <c r="F728" s="18">
        <v>45179</v>
      </c>
      <c r="G728">
        <v>38</v>
      </c>
      <c r="H728">
        <v>4.7</v>
      </c>
      <c r="I728">
        <f>IF(MONTH(calls[[#This Row],[Date of Call]])&lt;=6, YEAR(calls[[#This Row],[Date of Call]]), YEAR(calls[[#This Row],[Date of Call]])+1)</f>
        <v>2024</v>
      </c>
      <c r="J728" t="str">
        <f>TEXT(calls[[#This Row],[Date of Call]],"DDDD")</f>
        <v>Sunday</v>
      </c>
      <c r="K728" t="str" cm="1">
        <f t="array" ref="K7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8">
        <f>ROUND(calls[[#This Row],[Satisfaction Rating]],0)</f>
        <v>5</v>
      </c>
    </row>
    <row r="729" spans="2:12">
      <c r="B729" t="s">
        <v>751</v>
      </c>
      <c r="C729" t="s">
        <v>20</v>
      </c>
      <c r="D729">
        <v>58</v>
      </c>
      <c r="E729" s="17" t="s">
        <v>9</v>
      </c>
      <c r="F729" s="18">
        <v>45181</v>
      </c>
      <c r="G729">
        <v>90</v>
      </c>
      <c r="H729">
        <v>4.3</v>
      </c>
      <c r="I729">
        <f>IF(MONTH(calls[[#This Row],[Date of Call]])&lt;=6, YEAR(calls[[#This Row],[Date of Call]]), YEAR(calls[[#This Row],[Date of Call]])+1)</f>
        <v>2024</v>
      </c>
      <c r="J729" t="str">
        <f>TEXT(calls[[#This Row],[Date of Call]],"DDDD")</f>
        <v>Tuesday</v>
      </c>
      <c r="K729" t="str" cm="1">
        <f t="array" ref="K72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29">
        <f>ROUND(calls[[#This Row],[Satisfaction Rating]],0)</f>
        <v>4</v>
      </c>
    </row>
    <row r="730" spans="2:12">
      <c r="B730" t="s">
        <v>752</v>
      </c>
      <c r="C730" t="s">
        <v>14</v>
      </c>
      <c r="D730">
        <v>66</v>
      </c>
      <c r="E730" s="17" t="s">
        <v>9</v>
      </c>
      <c r="F730" s="18">
        <v>45181</v>
      </c>
      <c r="G730">
        <v>32</v>
      </c>
      <c r="H730">
        <v>3.8</v>
      </c>
      <c r="I730">
        <f>IF(MONTH(calls[[#This Row],[Date of Call]])&lt;=6, YEAR(calls[[#This Row],[Date of Call]]), YEAR(calls[[#This Row],[Date of Call]])+1)</f>
        <v>2024</v>
      </c>
      <c r="J730" t="str">
        <f>TEXT(calls[[#This Row],[Date of Call]],"DDDD")</f>
        <v>Tuesday</v>
      </c>
      <c r="K730" t="str" cm="1">
        <f t="array" ref="K7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0">
        <f>ROUND(calls[[#This Row],[Satisfaction Rating]],0)</f>
        <v>4</v>
      </c>
    </row>
    <row r="731" spans="2:12">
      <c r="B731" t="s">
        <v>753</v>
      </c>
      <c r="C731" t="s">
        <v>24</v>
      </c>
      <c r="D731">
        <v>75</v>
      </c>
      <c r="E731" s="17" t="s">
        <v>6</v>
      </c>
      <c r="F731" s="18">
        <v>45181</v>
      </c>
      <c r="G731">
        <v>120</v>
      </c>
      <c r="H731">
        <v>4.4000000000000004</v>
      </c>
      <c r="I731">
        <f>IF(MONTH(calls[[#This Row],[Date of Call]])&lt;=6, YEAR(calls[[#This Row],[Date of Call]]), YEAR(calls[[#This Row],[Date of Call]])+1)</f>
        <v>2024</v>
      </c>
      <c r="J731" t="str">
        <f>TEXT(calls[[#This Row],[Date of Call]],"DDDD")</f>
        <v>Tuesday</v>
      </c>
      <c r="K731" t="str" cm="1">
        <f t="array" ref="K7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1">
        <f>ROUND(calls[[#This Row],[Satisfaction Rating]],0)</f>
        <v>4</v>
      </c>
    </row>
    <row r="732" spans="2:12">
      <c r="B732" t="s">
        <v>754</v>
      </c>
      <c r="C732" t="s">
        <v>18</v>
      </c>
      <c r="D732">
        <v>8</v>
      </c>
      <c r="E732" s="17" t="s">
        <v>9</v>
      </c>
      <c r="F732" s="18">
        <v>45181</v>
      </c>
      <c r="G732">
        <v>31</v>
      </c>
      <c r="H732">
        <v>3.9</v>
      </c>
      <c r="I732">
        <f>IF(MONTH(calls[[#This Row],[Date of Call]])&lt;=6, YEAR(calls[[#This Row],[Date of Call]]), YEAR(calls[[#This Row],[Date of Call]])+1)</f>
        <v>2024</v>
      </c>
      <c r="J732" t="str">
        <f>TEXT(calls[[#This Row],[Date of Call]],"DDDD")</f>
        <v>Tuesday</v>
      </c>
      <c r="K732" t="str" cm="1">
        <f t="array" ref="K732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732">
        <f>ROUND(calls[[#This Row],[Satisfaction Rating]],0)</f>
        <v>4</v>
      </c>
    </row>
    <row r="733" spans="2:12">
      <c r="B733" t="s">
        <v>755</v>
      </c>
      <c r="C733" t="s">
        <v>23</v>
      </c>
      <c r="D733">
        <v>76</v>
      </c>
      <c r="E733" s="17" t="s">
        <v>6</v>
      </c>
      <c r="F733" s="18">
        <v>45182</v>
      </c>
      <c r="G733">
        <v>108</v>
      </c>
      <c r="H733">
        <v>4.9000000000000004</v>
      </c>
      <c r="I733">
        <f>IF(MONTH(calls[[#This Row],[Date of Call]])&lt;=6, YEAR(calls[[#This Row],[Date of Call]]), YEAR(calls[[#This Row],[Date of Call]])+1)</f>
        <v>2024</v>
      </c>
      <c r="J733" t="str">
        <f>TEXT(calls[[#This Row],[Date of Call]],"DDDD")</f>
        <v>Wednesday</v>
      </c>
      <c r="K733" t="str" cm="1">
        <f t="array" ref="K7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3">
        <f>ROUND(calls[[#This Row],[Satisfaction Rating]],0)</f>
        <v>5</v>
      </c>
    </row>
    <row r="734" spans="2:12">
      <c r="B734" t="s">
        <v>756</v>
      </c>
      <c r="C734" t="s">
        <v>20</v>
      </c>
      <c r="D734">
        <v>110</v>
      </c>
      <c r="E734" s="17" t="s">
        <v>6</v>
      </c>
      <c r="F734" s="18">
        <v>45182</v>
      </c>
      <c r="G734">
        <v>180</v>
      </c>
      <c r="H734">
        <v>4.2</v>
      </c>
      <c r="I734">
        <f>IF(MONTH(calls[[#This Row],[Date of Call]])&lt;=6, YEAR(calls[[#This Row],[Date of Call]]), YEAR(calls[[#This Row],[Date of Call]])+1)</f>
        <v>2024</v>
      </c>
      <c r="J734" t="str">
        <f>TEXT(calls[[#This Row],[Date of Call]],"DDDD")</f>
        <v>Wednesday</v>
      </c>
      <c r="K734" t="str" cm="1">
        <f t="array" ref="K7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4">
        <f>ROUND(calls[[#This Row],[Satisfaction Rating]],0)</f>
        <v>4</v>
      </c>
    </row>
    <row r="735" spans="2:12">
      <c r="B735" t="s">
        <v>757</v>
      </c>
      <c r="C735" t="s">
        <v>14</v>
      </c>
      <c r="D735">
        <v>50</v>
      </c>
      <c r="E735" s="17" t="s">
        <v>11</v>
      </c>
      <c r="F735" s="18">
        <v>45183</v>
      </c>
      <c r="G735">
        <v>124</v>
      </c>
      <c r="H735">
        <v>4</v>
      </c>
      <c r="I735">
        <f>IF(MONTH(calls[[#This Row],[Date of Call]])&lt;=6, YEAR(calls[[#This Row],[Date of Call]]), YEAR(calls[[#This Row],[Date of Call]])+1)</f>
        <v>2024</v>
      </c>
      <c r="J735" t="str">
        <f>TEXT(calls[[#This Row],[Date of Call]],"DDDD")</f>
        <v>Thursday</v>
      </c>
      <c r="K735" t="str" cm="1">
        <f t="array" ref="K73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35">
        <f>ROUND(calls[[#This Row],[Satisfaction Rating]],0)</f>
        <v>4</v>
      </c>
    </row>
    <row r="736" spans="2:12">
      <c r="B736" t="s">
        <v>758</v>
      </c>
      <c r="C736" t="s">
        <v>15</v>
      </c>
      <c r="D736">
        <v>78</v>
      </c>
      <c r="E736" s="17" t="s">
        <v>11</v>
      </c>
      <c r="F736" s="18">
        <v>45183</v>
      </c>
      <c r="G736">
        <v>23</v>
      </c>
      <c r="H736">
        <v>4.2</v>
      </c>
      <c r="I736">
        <f>IF(MONTH(calls[[#This Row],[Date of Call]])&lt;=6, YEAR(calls[[#This Row],[Date of Call]]), YEAR(calls[[#This Row],[Date of Call]])+1)</f>
        <v>2024</v>
      </c>
      <c r="J736" t="str">
        <f>TEXT(calls[[#This Row],[Date of Call]],"DDDD")</f>
        <v>Thursday</v>
      </c>
      <c r="K736" t="str" cm="1">
        <f t="array" ref="K73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6">
        <f>ROUND(calls[[#This Row],[Satisfaction Rating]],0)</f>
        <v>4</v>
      </c>
    </row>
    <row r="737" spans="2:12">
      <c r="B737" t="s">
        <v>759</v>
      </c>
      <c r="C737" t="s">
        <v>16</v>
      </c>
      <c r="D737">
        <v>59</v>
      </c>
      <c r="E737" s="17" t="s">
        <v>10</v>
      </c>
      <c r="F737" s="18">
        <v>45184</v>
      </c>
      <c r="G737">
        <v>24</v>
      </c>
      <c r="H737">
        <v>4.8</v>
      </c>
      <c r="I737">
        <f>IF(MONTH(calls[[#This Row],[Date of Call]])&lt;=6, YEAR(calls[[#This Row],[Date of Call]]), YEAR(calls[[#This Row],[Date of Call]])+1)</f>
        <v>2024</v>
      </c>
      <c r="J737" t="str">
        <f>TEXT(calls[[#This Row],[Date of Call]],"DDDD")</f>
        <v>Friday</v>
      </c>
      <c r="K737" t="str" cm="1">
        <f t="array" ref="K73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37">
        <f>ROUND(calls[[#This Row],[Satisfaction Rating]],0)</f>
        <v>5</v>
      </c>
    </row>
    <row r="738" spans="2:12">
      <c r="B738" t="s">
        <v>760</v>
      </c>
      <c r="C738" t="s">
        <v>15</v>
      </c>
      <c r="D738">
        <v>126</v>
      </c>
      <c r="E738" s="17" t="s">
        <v>9</v>
      </c>
      <c r="F738" s="18">
        <v>45185</v>
      </c>
      <c r="G738">
        <v>52</v>
      </c>
      <c r="H738">
        <v>1.1000000000000001</v>
      </c>
      <c r="I738">
        <f>IF(MONTH(calls[[#This Row],[Date of Call]])&lt;=6, YEAR(calls[[#This Row],[Date of Call]]), YEAR(calls[[#This Row],[Date of Call]])+1)</f>
        <v>2024</v>
      </c>
      <c r="J738" t="str">
        <f>TEXT(calls[[#This Row],[Date of Call]],"DDDD")</f>
        <v>Saturday</v>
      </c>
      <c r="K738" t="str" cm="1">
        <f t="array" ref="K73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38">
        <f>ROUND(calls[[#This Row],[Satisfaction Rating]],0)</f>
        <v>1</v>
      </c>
    </row>
    <row r="739" spans="2:12">
      <c r="B739" t="s">
        <v>761</v>
      </c>
      <c r="C739" t="s">
        <v>23</v>
      </c>
      <c r="D739">
        <v>43</v>
      </c>
      <c r="E739" s="17" t="s">
        <v>10</v>
      </c>
      <c r="F739" s="18">
        <v>45186</v>
      </c>
      <c r="G739">
        <v>168</v>
      </c>
      <c r="H739">
        <v>4</v>
      </c>
      <c r="I739">
        <f>IF(MONTH(calls[[#This Row],[Date of Call]])&lt;=6, YEAR(calls[[#This Row],[Date of Call]]), YEAR(calls[[#This Row],[Date of Call]])+1)</f>
        <v>2024</v>
      </c>
      <c r="J739" t="str">
        <f>TEXT(calls[[#This Row],[Date of Call]],"DDDD")</f>
        <v>Sunday</v>
      </c>
      <c r="K739" t="str" cm="1">
        <f t="array" ref="K73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39">
        <f>ROUND(calls[[#This Row],[Satisfaction Rating]],0)</f>
        <v>4</v>
      </c>
    </row>
    <row r="740" spans="2:12">
      <c r="B740" t="s">
        <v>762</v>
      </c>
      <c r="C740" t="s">
        <v>17</v>
      </c>
      <c r="D740">
        <v>79</v>
      </c>
      <c r="E740" s="17" t="s">
        <v>6</v>
      </c>
      <c r="F740" s="18">
        <v>45188</v>
      </c>
      <c r="G740">
        <v>125</v>
      </c>
      <c r="H740">
        <v>4.8</v>
      </c>
      <c r="I740">
        <f>IF(MONTH(calls[[#This Row],[Date of Call]])&lt;=6, YEAR(calls[[#This Row],[Date of Call]]), YEAR(calls[[#This Row],[Date of Call]])+1)</f>
        <v>2024</v>
      </c>
      <c r="J740" t="str">
        <f>TEXT(calls[[#This Row],[Date of Call]],"DDDD")</f>
        <v>Tuesday</v>
      </c>
      <c r="K740" t="str" cm="1">
        <f t="array" ref="K7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0">
        <f>ROUND(calls[[#This Row],[Satisfaction Rating]],0)</f>
        <v>5</v>
      </c>
    </row>
    <row r="741" spans="2:12">
      <c r="B741" t="s">
        <v>763</v>
      </c>
      <c r="C741" t="s">
        <v>20</v>
      </c>
      <c r="D741">
        <v>71</v>
      </c>
      <c r="E741" s="17" t="s">
        <v>10</v>
      </c>
      <c r="F741" s="18">
        <v>45189</v>
      </c>
      <c r="G741">
        <v>50</v>
      </c>
      <c r="H741">
        <v>4.2</v>
      </c>
      <c r="I741">
        <f>IF(MONTH(calls[[#This Row],[Date of Call]])&lt;=6, YEAR(calls[[#This Row],[Date of Call]]), YEAR(calls[[#This Row],[Date of Call]])+1)</f>
        <v>2024</v>
      </c>
      <c r="J741" t="str">
        <f>TEXT(calls[[#This Row],[Date of Call]],"DDDD")</f>
        <v>Wednesday</v>
      </c>
      <c r="K741" t="str" cm="1">
        <f t="array" ref="K7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1">
        <f>ROUND(calls[[#This Row],[Satisfaction Rating]],0)</f>
        <v>4</v>
      </c>
    </row>
    <row r="742" spans="2:12">
      <c r="B742" t="s">
        <v>764</v>
      </c>
      <c r="C742" t="s">
        <v>22</v>
      </c>
      <c r="D742">
        <v>94</v>
      </c>
      <c r="E742" s="17" t="s">
        <v>9</v>
      </c>
      <c r="F742" s="18">
        <v>45190</v>
      </c>
      <c r="G742">
        <v>220</v>
      </c>
      <c r="H742">
        <v>4.5999999999999996</v>
      </c>
      <c r="I742">
        <f>IF(MONTH(calls[[#This Row],[Date of Call]])&lt;=6, YEAR(calls[[#This Row],[Date of Call]]), YEAR(calls[[#This Row],[Date of Call]])+1)</f>
        <v>2024</v>
      </c>
      <c r="J742" t="str">
        <f>TEXT(calls[[#This Row],[Date of Call]],"DDDD")</f>
        <v>Thursday</v>
      </c>
      <c r="K742" t="str" cm="1">
        <f t="array" ref="K7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2">
        <f>ROUND(calls[[#This Row],[Satisfaction Rating]],0)</f>
        <v>5</v>
      </c>
    </row>
    <row r="743" spans="2:12">
      <c r="B743" t="s">
        <v>765</v>
      </c>
      <c r="C743" t="s">
        <v>18</v>
      </c>
      <c r="D743">
        <v>108</v>
      </c>
      <c r="E743" s="17" t="s">
        <v>10</v>
      </c>
      <c r="F743" s="18">
        <v>45190</v>
      </c>
      <c r="G743">
        <v>180</v>
      </c>
      <c r="H743">
        <v>4</v>
      </c>
      <c r="I743">
        <f>IF(MONTH(calls[[#This Row],[Date of Call]])&lt;=6, YEAR(calls[[#This Row],[Date of Call]]), YEAR(calls[[#This Row],[Date of Call]])+1)</f>
        <v>2024</v>
      </c>
      <c r="J743" t="str">
        <f>TEXT(calls[[#This Row],[Date of Call]],"DDDD")</f>
        <v>Thursday</v>
      </c>
      <c r="K743" t="str" cm="1">
        <f t="array" ref="K7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3">
        <f>ROUND(calls[[#This Row],[Satisfaction Rating]],0)</f>
        <v>4</v>
      </c>
    </row>
    <row r="744" spans="2:12">
      <c r="B744" t="s">
        <v>766</v>
      </c>
      <c r="C744" t="s">
        <v>23</v>
      </c>
      <c r="D744">
        <v>76</v>
      </c>
      <c r="E744" s="17" t="s">
        <v>9</v>
      </c>
      <c r="F744" s="18">
        <v>45190</v>
      </c>
      <c r="G744">
        <v>110</v>
      </c>
      <c r="H744">
        <v>3.9</v>
      </c>
      <c r="I744">
        <f>IF(MONTH(calls[[#This Row],[Date of Call]])&lt;=6, YEAR(calls[[#This Row],[Date of Call]]), YEAR(calls[[#This Row],[Date of Call]])+1)</f>
        <v>2024</v>
      </c>
      <c r="J744" t="str">
        <f>TEXT(calls[[#This Row],[Date of Call]],"DDDD")</f>
        <v>Thursday</v>
      </c>
      <c r="K744" t="str" cm="1">
        <f t="array" ref="K7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4">
        <f>ROUND(calls[[#This Row],[Satisfaction Rating]],0)</f>
        <v>4</v>
      </c>
    </row>
    <row r="745" spans="2:12">
      <c r="B745" t="s">
        <v>767</v>
      </c>
      <c r="C745" t="s">
        <v>16</v>
      </c>
      <c r="D745">
        <v>136</v>
      </c>
      <c r="E745" s="17" t="s">
        <v>10</v>
      </c>
      <c r="F745" s="18">
        <v>45190</v>
      </c>
      <c r="G745">
        <v>36</v>
      </c>
      <c r="H745">
        <v>2.8</v>
      </c>
      <c r="I745">
        <f>IF(MONTH(calls[[#This Row],[Date of Call]])&lt;=6, YEAR(calls[[#This Row],[Date of Call]]), YEAR(calls[[#This Row],[Date of Call]])+1)</f>
        <v>2024</v>
      </c>
      <c r="J745" t="str">
        <f>TEXT(calls[[#This Row],[Date of Call]],"DDDD")</f>
        <v>Thursday</v>
      </c>
      <c r="K745" t="str" cm="1">
        <f t="array" ref="K74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45">
        <f>ROUND(calls[[#This Row],[Satisfaction Rating]],0)</f>
        <v>3</v>
      </c>
    </row>
    <row r="746" spans="2:12">
      <c r="B746" t="s">
        <v>768</v>
      </c>
      <c r="C746" t="s">
        <v>12</v>
      </c>
      <c r="D746">
        <v>129</v>
      </c>
      <c r="E746" s="17" t="s">
        <v>11</v>
      </c>
      <c r="F746" s="18">
        <v>45191</v>
      </c>
      <c r="G746">
        <v>93</v>
      </c>
      <c r="H746">
        <v>4.7</v>
      </c>
      <c r="I746">
        <f>IF(MONTH(calls[[#This Row],[Date of Call]])&lt;=6, YEAR(calls[[#This Row],[Date of Call]]), YEAR(calls[[#This Row],[Date of Call]])+1)</f>
        <v>2024</v>
      </c>
      <c r="J746" t="str">
        <f>TEXT(calls[[#This Row],[Date of Call]],"DDDD")</f>
        <v>Friday</v>
      </c>
      <c r="K746" t="str" cm="1">
        <f t="array" ref="K74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46">
        <f>ROUND(calls[[#This Row],[Satisfaction Rating]],0)</f>
        <v>5</v>
      </c>
    </row>
    <row r="747" spans="2:12">
      <c r="B747" t="s">
        <v>769</v>
      </c>
      <c r="C747" t="s">
        <v>18</v>
      </c>
      <c r="D747">
        <v>120</v>
      </c>
      <c r="E747" s="17" t="s">
        <v>10</v>
      </c>
      <c r="F747" s="18">
        <v>45191</v>
      </c>
      <c r="G747">
        <v>38</v>
      </c>
      <c r="H747">
        <v>4.2</v>
      </c>
      <c r="I747">
        <f>IF(MONTH(calls[[#This Row],[Date of Call]])&lt;=6, YEAR(calls[[#This Row],[Date of Call]]), YEAR(calls[[#This Row],[Date of Call]])+1)</f>
        <v>2024</v>
      </c>
      <c r="J747" t="str">
        <f>TEXT(calls[[#This Row],[Date of Call]],"DDDD")</f>
        <v>Friday</v>
      </c>
      <c r="K747" t="str" cm="1">
        <f t="array" ref="K7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7">
        <f>ROUND(calls[[#This Row],[Satisfaction Rating]],0)</f>
        <v>4</v>
      </c>
    </row>
    <row r="748" spans="2:12">
      <c r="B748" t="s">
        <v>770</v>
      </c>
      <c r="C748" t="s">
        <v>23</v>
      </c>
      <c r="D748">
        <v>108</v>
      </c>
      <c r="E748" s="17" t="s">
        <v>11</v>
      </c>
      <c r="F748" s="18">
        <v>45192</v>
      </c>
      <c r="G748">
        <v>66</v>
      </c>
      <c r="H748">
        <v>3.9</v>
      </c>
      <c r="I748">
        <f>IF(MONTH(calls[[#This Row],[Date of Call]])&lt;=6, YEAR(calls[[#This Row],[Date of Call]]), YEAR(calls[[#This Row],[Date of Call]])+1)</f>
        <v>2024</v>
      </c>
      <c r="J748" t="str">
        <f>TEXT(calls[[#This Row],[Date of Call]],"DDDD")</f>
        <v>Saturday</v>
      </c>
      <c r="K748" t="str" cm="1">
        <f t="array" ref="K7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8">
        <f>ROUND(calls[[#This Row],[Satisfaction Rating]],0)</f>
        <v>4</v>
      </c>
    </row>
    <row r="749" spans="2:12">
      <c r="B749" t="s">
        <v>771</v>
      </c>
      <c r="C749" t="s">
        <v>15</v>
      </c>
      <c r="D749">
        <v>79</v>
      </c>
      <c r="E749" s="17" t="s">
        <v>10</v>
      </c>
      <c r="F749" s="18">
        <v>45192</v>
      </c>
      <c r="G749">
        <v>215</v>
      </c>
      <c r="H749">
        <v>4.5999999999999996</v>
      </c>
      <c r="I749">
        <f>IF(MONTH(calls[[#This Row],[Date of Call]])&lt;=6, YEAR(calls[[#This Row],[Date of Call]]), YEAR(calls[[#This Row],[Date of Call]])+1)</f>
        <v>2024</v>
      </c>
      <c r="J749" t="str">
        <f>TEXT(calls[[#This Row],[Date of Call]],"DDDD")</f>
        <v>Saturday</v>
      </c>
      <c r="K749" t="str" cm="1">
        <f t="array" ref="K7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9">
        <f>ROUND(calls[[#This Row],[Satisfaction Rating]],0)</f>
        <v>5</v>
      </c>
    </row>
    <row r="750" spans="2:12">
      <c r="B750" t="s">
        <v>772</v>
      </c>
      <c r="C750" t="s">
        <v>15</v>
      </c>
      <c r="D750">
        <v>45</v>
      </c>
      <c r="E750" s="17" t="s">
        <v>11</v>
      </c>
      <c r="F750" s="18">
        <v>45192</v>
      </c>
      <c r="G750">
        <v>92</v>
      </c>
      <c r="H750">
        <v>4.3</v>
      </c>
      <c r="I750">
        <f>IF(MONTH(calls[[#This Row],[Date of Call]])&lt;=6, YEAR(calls[[#This Row],[Date of Call]]), YEAR(calls[[#This Row],[Date of Call]])+1)</f>
        <v>2024</v>
      </c>
      <c r="J750" t="str">
        <f>TEXT(calls[[#This Row],[Date of Call]],"DDDD")</f>
        <v>Saturday</v>
      </c>
      <c r="K750" t="str" cm="1">
        <f t="array" ref="K75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50">
        <f>ROUND(calls[[#This Row],[Satisfaction Rating]],0)</f>
        <v>4</v>
      </c>
    </row>
    <row r="751" spans="2:12">
      <c r="B751" t="s">
        <v>773</v>
      </c>
      <c r="C751" t="s">
        <v>8</v>
      </c>
      <c r="D751">
        <v>96</v>
      </c>
      <c r="E751" s="17" t="s">
        <v>10</v>
      </c>
      <c r="F751" s="18">
        <v>45192</v>
      </c>
      <c r="G751">
        <v>80</v>
      </c>
      <c r="H751">
        <v>3.6</v>
      </c>
      <c r="I751">
        <f>IF(MONTH(calls[[#This Row],[Date of Call]])&lt;=6, YEAR(calls[[#This Row],[Date of Call]]), YEAR(calls[[#This Row],[Date of Call]])+1)</f>
        <v>2024</v>
      </c>
      <c r="J751" t="str">
        <f>TEXT(calls[[#This Row],[Date of Call]],"DDDD")</f>
        <v>Saturday</v>
      </c>
      <c r="K751" t="str" cm="1">
        <f t="array" ref="K7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1">
        <f>ROUND(calls[[#This Row],[Satisfaction Rating]],0)</f>
        <v>4</v>
      </c>
    </row>
    <row r="752" spans="2:12">
      <c r="B752" t="s">
        <v>774</v>
      </c>
      <c r="C752" t="s">
        <v>8</v>
      </c>
      <c r="D752">
        <v>81</v>
      </c>
      <c r="E752" s="17" t="s">
        <v>10</v>
      </c>
      <c r="F752" s="18">
        <v>45193</v>
      </c>
      <c r="G752">
        <v>123</v>
      </c>
      <c r="H752">
        <v>4.9000000000000004</v>
      </c>
      <c r="I752">
        <f>IF(MONTH(calls[[#This Row],[Date of Call]])&lt;=6, YEAR(calls[[#This Row],[Date of Call]]), YEAR(calls[[#This Row],[Date of Call]])+1)</f>
        <v>2024</v>
      </c>
      <c r="J752" t="str">
        <f>TEXT(calls[[#This Row],[Date of Call]],"DDDD")</f>
        <v>Sunday</v>
      </c>
      <c r="K752" t="str" cm="1">
        <f t="array" ref="K7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2">
        <f>ROUND(calls[[#This Row],[Satisfaction Rating]],0)</f>
        <v>5</v>
      </c>
    </row>
    <row r="753" spans="2:12">
      <c r="B753" t="s">
        <v>775</v>
      </c>
      <c r="C753" t="s">
        <v>16</v>
      </c>
      <c r="D753">
        <v>95</v>
      </c>
      <c r="E753" s="17" t="s">
        <v>13</v>
      </c>
      <c r="F753" s="18">
        <v>45193</v>
      </c>
      <c r="G753">
        <v>23</v>
      </c>
      <c r="H753">
        <v>2.4</v>
      </c>
      <c r="I753">
        <f>IF(MONTH(calls[[#This Row],[Date of Call]])&lt;=6, YEAR(calls[[#This Row],[Date of Call]]), YEAR(calls[[#This Row],[Date of Call]])+1)</f>
        <v>2024</v>
      </c>
      <c r="J753" t="str">
        <f>TEXT(calls[[#This Row],[Date of Call]],"DDDD")</f>
        <v>Sunday</v>
      </c>
      <c r="K753" t="str" cm="1">
        <f t="array" ref="K75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3">
        <f>ROUND(calls[[#This Row],[Satisfaction Rating]],0)</f>
        <v>2</v>
      </c>
    </row>
    <row r="754" spans="2:12">
      <c r="B754" t="s">
        <v>776</v>
      </c>
      <c r="C754" t="s">
        <v>19</v>
      </c>
      <c r="D754">
        <v>159</v>
      </c>
      <c r="E754" s="17" t="s">
        <v>9</v>
      </c>
      <c r="F754" s="18">
        <v>45193</v>
      </c>
      <c r="G754">
        <v>63</v>
      </c>
      <c r="H754">
        <v>4.2</v>
      </c>
      <c r="I754">
        <f>IF(MONTH(calls[[#This Row],[Date of Call]])&lt;=6, YEAR(calls[[#This Row],[Date of Call]]), YEAR(calls[[#This Row],[Date of Call]])+1)</f>
        <v>2024</v>
      </c>
      <c r="J754" t="str">
        <f>TEXT(calls[[#This Row],[Date of Call]],"DDDD")</f>
        <v>Sunday</v>
      </c>
      <c r="K754" t="str" cm="1">
        <f t="array" ref="K7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54">
        <f>ROUND(calls[[#This Row],[Satisfaction Rating]],0)</f>
        <v>4</v>
      </c>
    </row>
    <row r="755" spans="2:12">
      <c r="B755" t="s">
        <v>777</v>
      </c>
      <c r="C755" t="s">
        <v>5</v>
      </c>
      <c r="D755">
        <v>109</v>
      </c>
      <c r="E755" s="17" t="s">
        <v>6</v>
      </c>
      <c r="F755" s="18">
        <v>45193</v>
      </c>
      <c r="G755">
        <v>52</v>
      </c>
      <c r="H755">
        <v>3.9</v>
      </c>
      <c r="I755">
        <f>IF(MONTH(calls[[#This Row],[Date of Call]])&lt;=6, YEAR(calls[[#This Row],[Date of Call]]), YEAR(calls[[#This Row],[Date of Call]])+1)</f>
        <v>2024</v>
      </c>
      <c r="J755" t="str">
        <f>TEXT(calls[[#This Row],[Date of Call]],"DDDD")</f>
        <v>Sunday</v>
      </c>
      <c r="K755" t="str" cm="1">
        <f t="array" ref="K7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5">
        <f>ROUND(calls[[#This Row],[Satisfaction Rating]],0)</f>
        <v>4</v>
      </c>
    </row>
    <row r="756" spans="2:12">
      <c r="B756" t="s">
        <v>778</v>
      </c>
      <c r="C756" t="s">
        <v>15</v>
      </c>
      <c r="D756">
        <v>107</v>
      </c>
      <c r="E756" s="17" t="s">
        <v>6</v>
      </c>
      <c r="F756" s="18">
        <v>45193</v>
      </c>
      <c r="G756">
        <v>60</v>
      </c>
      <c r="H756">
        <v>4.2</v>
      </c>
      <c r="I756">
        <f>IF(MONTH(calls[[#This Row],[Date of Call]])&lt;=6, YEAR(calls[[#This Row],[Date of Call]]), YEAR(calls[[#This Row],[Date of Call]])+1)</f>
        <v>2024</v>
      </c>
      <c r="J756" t="str">
        <f>TEXT(calls[[#This Row],[Date of Call]],"DDDD")</f>
        <v>Sunday</v>
      </c>
      <c r="K756" t="str" cm="1">
        <f t="array" ref="K7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6">
        <f>ROUND(calls[[#This Row],[Satisfaction Rating]],0)</f>
        <v>4</v>
      </c>
    </row>
    <row r="757" spans="2:12">
      <c r="B757" t="s">
        <v>779</v>
      </c>
      <c r="C757" t="s">
        <v>8</v>
      </c>
      <c r="D757">
        <v>67</v>
      </c>
      <c r="E757" s="17" t="s">
        <v>11</v>
      </c>
      <c r="F757" s="18">
        <v>45194</v>
      </c>
      <c r="G757">
        <v>87</v>
      </c>
      <c r="H757">
        <v>3.9</v>
      </c>
      <c r="I757">
        <f>IF(MONTH(calls[[#This Row],[Date of Call]])&lt;=6, YEAR(calls[[#This Row],[Date of Call]]), YEAR(calls[[#This Row],[Date of Call]])+1)</f>
        <v>2024</v>
      </c>
      <c r="J757" t="str">
        <f>TEXT(calls[[#This Row],[Date of Call]],"DDDD")</f>
        <v>Monday</v>
      </c>
      <c r="K757" t="str" cm="1">
        <f t="array" ref="K7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7">
        <f>ROUND(calls[[#This Row],[Satisfaction Rating]],0)</f>
        <v>4</v>
      </c>
    </row>
    <row r="758" spans="2:12">
      <c r="B758" t="s">
        <v>780</v>
      </c>
      <c r="C758" t="s">
        <v>24</v>
      </c>
      <c r="D758">
        <v>96</v>
      </c>
      <c r="E758" s="17" t="s">
        <v>10</v>
      </c>
      <c r="F758" s="18">
        <v>45195</v>
      </c>
      <c r="G758">
        <v>42</v>
      </c>
      <c r="H758">
        <v>4.5</v>
      </c>
      <c r="I758">
        <f>IF(MONTH(calls[[#This Row],[Date of Call]])&lt;=6, YEAR(calls[[#This Row],[Date of Call]]), YEAR(calls[[#This Row],[Date of Call]])+1)</f>
        <v>2024</v>
      </c>
      <c r="J758" t="str">
        <f>TEXT(calls[[#This Row],[Date of Call]],"DDDD")</f>
        <v>Tuesday</v>
      </c>
      <c r="K758" t="str" cm="1">
        <f t="array" ref="K7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8">
        <f>ROUND(calls[[#This Row],[Satisfaction Rating]],0)</f>
        <v>5</v>
      </c>
    </row>
    <row r="759" spans="2:12">
      <c r="B759" t="s">
        <v>781</v>
      </c>
      <c r="C759" t="s">
        <v>7</v>
      </c>
      <c r="D759">
        <v>142</v>
      </c>
      <c r="E759" s="17" t="s">
        <v>9</v>
      </c>
      <c r="F759" s="18">
        <v>45196</v>
      </c>
      <c r="G759">
        <v>37</v>
      </c>
      <c r="H759">
        <v>3.8</v>
      </c>
      <c r="I759">
        <f>IF(MONTH(calls[[#This Row],[Date of Call]])&lt;=6, YEAR(calls[[#This Row],[Date of Call]]), YEAR(calls[[#This Row],[Date of Call]])+1)</f>
        <v>2024</v>
      </c>
      <c r="J759" t="str">
        <f>TEXT(calls[[#This Row],[Date of Call]],"DDDD")</f>
        <v>Wednesday</v>
      </c>
      <c r="K759" t="str" cm="1">
        <f t="array" ref="K75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59">
        <f>ROUND(calls[[#This Row],[Satisfaction Rating]],0)</f>
        <v>4</v>
      </c>
    </row>
    <row r="760" spans="2:12">
      <c r="B760" t="s">
        <v>782</v>
      </c>
      <c r="C760" t="s">
        <v>7</v>
      </c>
      <c r="D760">
        <v>71</v>
      </c>
      <c r="E760" s="17" t="s">
        <v>13</v>
      </c>
      <c r="F760" s="18">
        <v>45196</v>
      </c>
      <c r="G760">
        <v>135</v>
      </c>
      <c r="H760">
        <v>3.9</v>
      </c>
      <c r="I760">
        <f>IF(MONTH(calls[[#This Row],[Date of Call]])&lt;=6, YEAR(calls[[#This Row],[Date of Call]]), YEAR(calls[[#This Row],[Date of Call]])+1)</f>
        <v>2024</v>
      </c>
      <c r="J760" t="str">
        <f>TEXT(calls[[#This Row],[Date of Call]],"DDDD")</f>
        <v>Wednesday</v>
      </c>
      <c r="K760" t="str" cm="1">
        <f t="array" ref="K7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0">
        <f>ROUND(calls[[#This Row],[Satisfaction Rating]],0)</f>
        <v>4</v>
      </c>
    </row>
    <row r="761" spans="2:12">
      <c r="B761" t="s">
        <v>783</v>
      </c>
      <c r="C761" t="s">
        <v>24</v>
      </c>
      <c r="D761">
        <v>152</v>
      </c>
      <c r="E761" s="17" t="s">
        <v>13</v>
      </c>
      <c r="F761" s="18">
        <v>45196</v>
      </c>
      <c r="G761">
        <v>88</v>
      </c>
      <c r="H761">
        <v>4.7</v>
      </c>
      <c r="I761">
        <f>IF(MONTH(calls[[#This Row],[Date of Call]])&lt;=6, YEAR(calls[[#This Row],[Date of Call]]), YEAR(calls[[#This Row],[Date of Call]])+1)</f>
        <v>2024</v>
      </c>
      <c r="J761" t="str">
        <f>TEXT(calls[[#This Row],[Date of Call]],"DDDD")</f>
        <v>Wednesday</v>
      </c>
      <c r="K761" t="str" cm="1">
        <f t="array" ref="K76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1">
        <f>ROUND(calls[[#This Row],[Satisfaction Rating]],0)</f>
        <v>5</v>
      </c>
    </row>
    <row r="762" spans="2:12">
      <c r="B762" t="s">
        <v>784</v>
      </c>
      <c r="C762" t="s">
        <v>17</v>
      </c>
      <c r="D762">
        <v>108</v>
      </c>
      <c r="E762" s="17" t="s">
        <v>9</v>
      </c>
      <c r="F762" s="18">
        <v>45196</v>
      </c>
      <c r="G762">
        <v>190</v>
      </c>
      <c r="H762">
        <v>3.2</v>
      </c>
      <c r="I762">
        <f>IF(MONTH(calls[[#This Row],[Date of Call]])&lt;=6, YEAR(calls[[#This Row],[Date of Call]]), YEAR(calls[[#This Row],[Date of Call]])+1)</f>
        <v>2024</v>
      </c>
      <c r="J762" t="str">
        <f>TEXT(calls[[#This Row],[Date of Call]],"DDDD")</f>
        <v>Wednesday</v>
      </c>
      <c r="K762" t="str" cm="1">
        <f t="array" ref="K7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2">
        <f>ROUND(calls[[#This Row],[Satisfaction Rating]],0)</f>
        <v>3</v>
      </c>
    </row>
    <row r="763" spans="2:12">
      <c r="B763" t="s">
        <v>785</v>
      </c>
      <c r="C763" t="s">
        <v>17</v>
      </c>
      <c r="D763">
        <v>156</v>
      </c>
      <c r="E763" s="17" t="s">
        <v>13</v>
      </c>
      <c r="F763" s="18">
        <v>45196</v>
      </c>
      <c r="G763">
        <v>81</v>
      </c>
      <c r="H763">
        <v>5</v>
      </c>
      <c r="I763">
        <f>IF(MONTH(calls[[#This Row],[Date of Call]])&lt;=6, YEAR(calls[[#This Row],[Date of Call]]), YEAR(calls[[#This Row],[Date of Call]])+1)</f>
        <v>2024</v>
      </c>
      <c r="J763" t="str">
        <f>TEXT(calls[[#This Row],[Date of Call]],"DDDD")</f>
        <v>Wednesday</v>
      </c>
      <c r="K763" t="str" cm="1">
        <f t="array" ref="K76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3">
        <f>ROUND(calls[[#This Row],[Satisfaction Rating]],0)</f>
        <v>5</v>
      </c>
    </row>
    <row r="764" spans="2:12">
      <c r="B764" t="s">
        <v>786</v>
      </c>
      <c r="C764" t="s">
        <v>7</v>
      </c>
      <c r="D764">
        <v>126</v>
      </c>
      <c r="E764" s="17" t="s">
        <v>9</v>
      </c>
      <c r="F764" s="18">
        <v>45196</v>
      </c>
      <c r="G764">
        <v>44</v>
      </c>
      <c r="H764">
        <v>3.7</v>
      </c>
      <c r="I764">
        <f>IF(MONTH(calls[[#This Row],[Date of Call]])&lt;=6, YEAR(calls[[#This Row],[Date of Call]]), YEAR(calls[[#This Row],[Date of Call]])+1)</f>
        <v>2024</v>
      </c>
      <c r="J764" t="str">
        <f>TEXT(calls[[#This Row],[Date of Call]],"DDDD")</f>
        <v>Wednesday</v>
      </c>
      <c r="K764" t="str" cm="1">
        <f t="array" ref="K76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4">
        <f>ROUND(calls[[#This Row],[Satisfaction Rating]],0)</f>
        <v>4</v>
      </c>
    </row>
    <row r="765" spans="2:12">
      <c r="B765" t="s">
        <v>787</v>
      </c>
      <c r="C765" t="s">
        <v>23</v>
      </c>
      <c r="D765">
        <v>135</v>
      </c>
      <c r="E765" s="17" t="s">
        <v>13</v>
      </c>
      <c r="F765" s="18">
        <v>45197</v>
      </c>
      <c r="G765">
        <v>92</v>
      </c>
      <c r="H765">
        <v>3.9</v>
      </c>
      <c r="I765">
        <f>IF(MONTH(calls[[#This Row],[Date of Call]])&lt;=6, YEAR(calls[[#This Row],[Date of Call]]), YEAR(calls[[#This Row],[Date of Call]])+1)</f>
        <v>2024</v>
      </c>
      <c r="J765" t="str">
        <f>TEXT(calls[[#This Row],[Date of Call]],"DDDD")</f>
        <v>Thursday</v>
      </c>
      <c r="K765" t="str" cm="1">
        <f t="array" ref="K76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5">
        <f>ROUND(calls[[#This Row],[Satisfaction Rating]],0)</f>
        <v>4</v>
      </c>
    </row>
    <row r="766" spans="2:12">
      <c r="B766" t="s">
        <v>788</v>
      </c>
      <c r="C766" t="s">
        <v>7</v>
      </c>
      <c r="D766">
        <v>110</v>
      </c>
      <c r="E766" s="17" t="s">
        <v>10</v>
      </c>
      <c r="F766" s="18">
        <v>45198</v>
      </c>
      <c r="G766">
        <v>90</v>
      </c>
      <c r="H766">
        <v>3.1</v>
      </c>
      <c r="I766">
        <f>IF(MONTH(calls[[#This Row],[Date of Call]])&lt;=6, YEAR(calls[[#This Row],[Date of Call]]), YEAR(calls[[#This Row],[Date of Call]])+1)</f>
        <v>2024</v>
      </c>
      <c r="J766" t="str">
        <f>TEXT(calls[[#This Row],[Date of Call]],"DDDD")</f>
        <v>Friday</v>
      </c>
      <c r="K766" t="str" cm="1">
        <f t="array" ref="K7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6">
        <f>ROUND(calls[[#This Row],[Satisfaction Rating]],0)</f>
        <v>3</v>
      </c>
    </row>
    <row r="767" spans="2:12">
      <c r="B767" t="s">
        <v>789</v>
      </c>
      <c r="C767" t="s">
        <v>19</v>
      </c>
      <c r="D767">
        <v>64</v>
      </c>
      <c r="E767" s="17" t="s">
        <v>13</v>
      </c>
      <c r="F767" s="18">
        <v>45198</v>
      </c>
      <c r="G767">
        <v>112</v>
      </c>
      <c r="H767">
        <v>2</v>
      </c>
      <c r="I767">
        <f>IF(MONTH(calls[[#This Row],[Date of Call]])&lt;=6, YEAR(calls[[#This Row],[Date of Call]]), YEAR(calls[[#This Row],[Date of Call]])+1)</f>
        <v>2024</v>
      </c>
      <c r="J767" t="str">
        <f>TEXT(calls[[#This Row],[Date of Call]],"DDDD")</f>
        <v>Friday</v>
      </c>
      <c r="K767" t="str" cm="1">
        <f t="array" ref="K7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7">
        <f>ROUND(calls[[#This Row],[Satisfaction Rating]],0)</f>
        <v>2</v>
      </c>
    </row>
    <row r="768" spans="2:12">
      <c r="B768" t="s">
        <v>790</v>
      </c>
      <c r="C768" t="s">
        <v>22</v>
      </c>
      <c r="D768">
        <v>127</v>
      </c>
      <c r="E768" s="17" t="s">
        <v>9</v>
      </c>
      <c r="F768" s="18">
        <v>45198</v>
      </c>
      <c r="G768">
        <v>112</v>
      </c>
      <c r="H768">
        <v>4.5999999999999996</v>
      </c>
      <c r="I768">
        <f>IF(MONTH(calls[[#This Row],[Date of Call]])&lt;=6, YEAR(calls[[#This Row],[Date of Call]]), YEAR(calls[[#This Row],[Date of Call]])+1)</f>
        <v>2024</v>
      </c>
      <c r="J768" t="str">
        <f>TEXT(calls[[#This Row],[Date of Call]],"DDDD")</f>
        <v>Friday</v>
      </c>
      <c r="K768" t="str" cm="1">
        <f t="array" ref="K76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8">
        <f>ROUND(calls[[#This Row],[Satisfaction Rating]],0)</f>
        <v>5</v>
      </c>
    </row>
    <row r="769" spans="2:12">
      <c r="B769" t="s">
        <v>791</v>
      </c>
      <c r="C769" t="s">
        <v>5</v>
      </c>
      <c r="D769">
        <v>124</v>
      </c>
      <c r="E769" s="17" t="s">
        <v>11</v>
      </c>
      <c r="F769" s="18">
        <v>45198</v>
      </c>
      <c r="G769">
        <v>48</v>
      </c>
      <c r="H769">
        <v>3.7</v>
      </c>
      <c r="I769">
        <f>IF(MONTH(calls[[#This Row],[Date of Call]])&lt;=6, YEAR(calls[[#This Row],[Date of Call]]), YEAR(calls[[#This Row],[Date of Call]])+1)</f>
        <v>2024</v>
      </c>
      <c r="J769" t="str">
        <f>TEXT(calls[[#This Row],[Date of Call]],"DDDD")</f>
        <v>Friday</v>
      </c>
      <c r="K769" t="str" cm="1">
        <f t="array" ref="K76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9">
        <f>ROUND(calls[[#This Row],[Satisfaction Rating]],0)</f>
        <v>4</v>
      </c>
    </row>
    <row r="770" spans="2:12">
      <c r="B770" t="s">
        <v>792</v>
      </c>
      <c r="C770" t="s">
        <v>19</v>
      </c>
      <c r="D770">
        <v>125</v>
      </c>
      <c r="E770" s="17" t="s">
        <v>9</v>
      </c>
      <c r="F770" s="18">
        <v>45198</v>
      </c>
      <c r="G770">
        <v>116</v>
      </c>
      <c r="H770">
        <v>4.4000000000000004</v>
      </c>
      <c r="I770">
        <f>IF(MONTH(calls[[#This Row],[Date of Call]])&lt;=6, YEAR(calls[[#This Row],[Date of Call]]), YEAR(calls[[#This Row],[Date of Call]])+1)</f>
        <v>2024</v>
      </c>
      <c r="J770" t="str">
        <f>TEXT(calls[[#This Row],[Date of Call]],"DDDD")</f>
        <v>Friday</v>
      </c>
      <c r="K770" t="str" cm="1">
        <f t="array" ref="K77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70">
        <f>ROUND(calls[[#This Row],[Satisfaction Rating]],0)</f>
        <v>4</v>
      </c>
    </row>
    <row r="771" spans="2:12">
      <c r="B771" t="s">
        <v>793</v>
      </c>
      <c r="C771" t="s">
        <v>12</v>
      </c>
      <c r="D771">
        <v>70</v>
      </c>
      <c r="E771" s="17" t="s">
        <v>9</v>
      </c>
      <c r="F771" s="18">
        <v>45198</v>
      </c>
      <c r="G771">
        <v>29</v>
      </c>
      <c r="H771">
        <v>2.1</v>
      </c>
      <c r="I771">
        <f>IF(MONTH(calls[[#This Row],[Date of Call]])&lt;=6, YEAR(calls[[#This Row],[Date of Call]]), YEAR(calls[[#This Row],[Date of Call]])+1)</f>
        <v>2024</v>
      </c>
      <c r="J771" t="str">
        <f>TEXT(calls[[#This Row],[Date of Call]],"DDDD")</f>
        <v>Friday</v>
      </c>
      <c r="K771" t="str" cm="1">
        <f t="array" ref="K7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1">
        <f>ROUND(calls[[#This Row],[Satisfaction Rating]],0)</f>
        <v>2</v>
      </c>
    </row>
    <row r="772" spans="2:12">
      <c r="B772" t="s">
        <v>794</v>
      </c>
      <c r="C772" t="s">
        <v>22</v>
      </c>
      <c r="D772">
        <v>93</v>
      </c>
      <c r="E772" s="17" t="s">
        <v>13</v>
      </c>
      <c r="F772" s="18">
        <v>45199</v>
      </c>
      <c r="G772">
        <v>170</v>
      </c>
      <c r="H772">
        <v>2.2000000000000002</v>
      </c>
      <c r="I772">
        <f>IF(MONTH(calls[[#This Row],[Date of Call]])&lt;=6, YEAR(calls[[#This Row],[Date of Call]]), YEAR(calls[[#This Row],[Date of Call]])+1)</f>
        <v>2024</v>
      </c>
      <c r="J772" t="str">
        <f>TEXT(calls[[#This Row],[Date of Call]],"DDDD")</f>
        <v>Saturday</v>
      </c>
      <c r="K772" t="str" cm="1">
        <f t="array" ref="K7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2">
        <f>ROUND(calls[[#This Row],[Satisfaction Rating]],0)</f>
        <v>2</v>
      </c>
    </row>
    <row r="773" spans="2:12">
      <c r="B773" t="s">
        <v>795</v>
      </c>
      <c r="C773" t="s">
        <v>12</v>
      </c>
      <c r="D773">
        <v>120</v>
      </c>
      <c r="E773" s="17" t="s">
        <v>6</v>
      </c>
      <c r="F773" s="18">
        <v>45199</v>
      </c>
      <c r="G773">
        <v>68</v>
      </c>
      <c r="H773">
        <v>3.4</v>
      </c>
      <c r="I773">
        <f>IF(MONTH(calls[[#This Row],[Date of Call]])&lt;=6, YEAR(calls[[#This Row],[Date of Call]]), YEAR(calls[[#This Row],[Date of Call]])+1)</f>
        <v>2024</v>
      </c>
      <c r="J773" t="str">
        <f>TEXT(calls[[#This Row],[Date of Call]],"DDDD")</f>
        <v>Saturday</v>
      </c>
      <c r="K773" t="str" cm="1">
        <f t="array" ref="K7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3">
        <f>ROUND(calls[[#This Row],[Satisfaction Rating]],0)</f>
        <v>3</v>
      </c>
    </row>
    <row r="774" spans="2:12">
      <c r="B774" t="s">
        <v>796</v>
      </c>
      <c r="C774" t="s">
        <v>8</v>
      </c>
      <c r="D774">
        <v>96</v>
      </c>
      <c r="E774" s="17" t="s">
        <v>10</v>
      </c>
      <c r="F774" s="18">
        <v>45199</v>
      </c>
      <c r="G774">
        <v>195</v>
      </c>
      <c r="H774">
        <v>2.7</v>
      </c>
      <c r="I774">
        <f>IF(MONTH(calls[[#This Row],[Date of Call]])&lt;=6, YEAR(calls[[#This Row],[Date of Call]]), YEAR(calls[[#This Row],[Date of Call]])+1)</f>
        <v>2024</v>
      </c>
      <c r="J774" t="str">
        <f>TEXT(calls[[#This Row],[Date of Call]],"DDDD")</f>
        <v>Saturday</v>
      </c>
      <c r="K774" t="str" cm="1">
        <f t="array" ref="K7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4">
        <f>ROUND(calls[[#This Row],[Satisfaction Rating]],0)</f>
        <v>3</v>
      </c>
    </row>
    <row r="775" spans="2:12">
      <c r="B775" t="s">
        <v>797</v>
      </c>
      <c r="C775" t="s">
        <v>21</v>
      </c>
      <c r="D775">
        <v>67</v>
      </c>
      <c r="E775" s="17" t="s">
        <v>10</v>
      </c>
      <c r="F775" s="18">
        <v>45199</v>
      </c>
      <c r="G775">
        <v>96</v>
      </c>
      <c r="H775">
        <v>3.7</v>
      </c>
      <c r="I775">
        <f>IF(MONTH(calls[[#This Row],[Date of Call]])&lt;=6, YEAR(calls[[#This Row],[Date of Call]]), YEAR(calls[[#This Row],[Date of Call]])+1)</f>
        <v>2024</v>
      </c>
      <c r="J775" t="str">
        <f>TEXT(calls[[#This Row],[Date of Call]],"DDDD")</f>
        <v>Saturday</v>
      </c>
      <c r="K775" t="str" cm="1">
        <f t="array" ref="K7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5">
        <f>ROUND(calls[[#This Row],[Satisfaction Rating]],0)</f>
        <v>4</v>
      </c>
    </row>
    <row r="776" spans="2:12">
      <c r="B776" t="s">
        <v>798</v>
      </c>
      <c r="C776" t="s">
        <v>19</v>
      </c>
      <c r="D776">
        <v>119</v>
      </c>
      <c r="E776" s="17" t="s">
        <v>10</v>
      </c>
      <c r="F776" s="18">
        <v>45199</v>
      </c>
      <c r="G776">
        <v>96</v>
      </c>
      <c r="H776">
        <v>3.1</v>
      </c>
      <c r="I776">
        <f>IF(MONTH(calls[[#This Row],[Date of Call]])&lt;=6, YEAR(calls[[#This Row],[Date of Call]]), YEAR(calls[[#This Row],[Date of Call]])+1)</f>
        <v>2024</v>
      </c>
      <c r="J776" t="str">
        <f>TEXT(calls[[#This Row],[Date of Call]],"DDDD")</f>
        <v>Saturday</v>
      </c>
      <c r="K776" t="str" cm="1">
        <f t="array" ref="K7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6">
        <f>ROUND(calls[[#This Row],[Satisfaction Rating]],0)</f>
        <v>3</v>
      </c>
    </row>
    <row r="777" spans="2:12">
      <c r="B777" t="s">
        <v>799</v>
      </c>
      <c r="C777" t="s">
        <v>5</v>
      </c>
      <c r="D777">
        <v>61</v>
      </c>
      <c r="E777" s="17" t="s">
        <v>11</v>
      </c>
      <c r="F777" s="18">
        <v>45199</v>
      </c>
      <c r="G777">
        <v>117</v>
      </c>
      <c r="H777">
        <v>4.0999999999999996</v>
      </c>
      <c r="I777">
        <f>IF(MONTH(calls[[#This Row],[Date of Call]])&lt;=6, YEAR(calls[[#This Row],[Date of Call]]), YEAR(calls[[#This Row],[Date of Call]])+1)</f>
        <v>2024</v>
      </c>
      <c r="J777" t="str">
        <f>TEXT(calls[[#This Row],[Date of Call]],"DDDD")</f>
        <v>Saturday</v>
      </c>
      <c r="K777" t="str" cm="1">
        <f t="array" ref="K7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7">
        <f>ROUND(calls[[#This Row],[Satisfaction Rating]],0)</f>
        <v>4</v>
      </c>
    </row>
    <row r="778" spans="2:12">
      <c r="B778" t="s">
        <v>800</v>
      </c>
      <c r="C778" t="s">
        <v>8</v>
      </c>
      <c r="D778">
        <v>29</v>
      </c>
      <c r="E778" s="17" t="s">
        <v>13</v>
      </c>
      <c r="F778" s="18">
        <v>45199</v>
      </c>
      <c r="G778">
        <v>80</v>
      </c>
      <c r="H778">
        <v>4.8</v>
      </c>
      <c r="I778">
        <f>IF(MONTH(calls[[#This Row],[Date of Call]])&lt;=6, YEAR(calls[[#This Row],[Date of Call]]), YEAR(calls[[#This Row],[Date of Call]])+1)</f>
        <v>2024</v>
      </c>
      <c r="J778" t="str">
        <f>TEXT(calls[[#This Row],[Date of Call]],"DDDD")</f>
        <v>Saturday</v>
      </c>
      <c r="K778" t="str" cm="1">
        <f t="array" ref="K77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778">
        <f>ROUND(calls[[#This Row],[Satisfaction Rating]],0)</f>
        <v>5</v>
      </c>
    </row>
    <row r="779" spans="2:12">
      <c r="B779" t="s">
        <v>801</v>
      </c>
      <c r="C779" t="s">
        <v>24</v>
      </c>
      <c r="D779">
        <v>134</v>
      </c>
      <c r="E779" s="17" t="s">
        <v>6</v>
      </c>
      <c r="F779" s="18">
        <v>45199</v>
      </c>
      <c r="G779">
        <v>117</v>
      </c>
      <c r="H779">
        <v>4</v>
      </c>
      <c r="I779">
        <f>IF(MONTH(calls[[#This Row],[Date of Call]])&lt;=6, YEAR(calls[[#This Row],[Date of Call]]), YEAR(calls[[#This Row],[Date of Call]])+1)</f>
        <v>2024</v>
      </c>
      <c r="J779" t="str">
        <f>TEXT(calls[[#This Row],[Date of Call]],"DDDD")</f>
        <v>Saturday</v>
      </c>
      <c r="K779" t="str" cm="1">
        <f t="array" ref="K7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79">
        <f>ROUND(calls[[#This Row],[Satisfaction Rating]],0)</f>
        <v>4</v>
      </c>
    </row>
    <row r="780" spans="2:12">
      <c r="B780" t="s">
        <v>802</v>
      </c>
      <c r="C780" t="s">
        <v>7</v>
      </c>
      <c r="D780">
        <v>113</v>
      </c>
      <c r="E780" s="17" t="s">
        <v>10</v>
      </c>
      <c r="F780" s="18">
        <v>45200</v>
      </c>
      <c r="G780">
        <v>40</v>
      </c>
      <c r="H780">
        <v>3</v>
      </c>
      <c r="I780">
        <f>IF(MONTH(calls[[#This Row],[Date of Call]])&lt;=6, YEAR(calls[[#This Row],[Date of Call]]), YEAR(calls[[#This Row],[Date of Call]])+1)</f>
        <v>2024</v>
      </c>
      <c r="J780" t="str">
        <f>TEXT(calls[[#This Row],[Date of Call]],"DDDD")</f>
        <v>Sunday</v>
      </c>
      <c r="K780" t="str" cm="1">
        <f t="array" ref="K7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0">
        <f>ROUND(calls[[#This Row],[Satisfaction Rating]],0)</f>
        <v>3</v>
      </c>
    </row>
    <row r="781" spans="2:12">
      <c r="B781" t="s">
        <v>803</v>
      </c>
      <c r="C781" t="s">
        <v>17</v>
      </c>
      <c r="D781">
        <v>12</v>
      </c>
      <c r="E781" s="17" t="s">
        <v>6</v>
      </c>
      <c r="F781" s="18">
        <v>45200</v>
      </c>
      <c r="G781">
        <v>117</v>
      </c>
      <c r="H781">
        <v>4.8</v>
      </c>
      <c r="I781">
        <f>IF(MONTH(calls[[#This Row],[Date of Call]])&lt;=6, YEAR(calls[[#This Row],[Date of Call]]), YEAR(calls[[#This Row],[Date of Call]])+1)</f>
        <v>2024</v>
      </c>
      <c r="J781" t="str">
        <f>TEXT(calls[[#This Row],[Date of Call]],"DDDD")</f>
        <v>Sunday</v>
      </c>
      <c r="K781" t="str" cm="1">
        <f t="array" ref="K78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781">
        <f>ROUND(calls[[#This Row],[Satisfaction Rating]],0)</f>
        <v>5</v>
      </c>
    </row>
    <row r="782" spans="2:12">
      <c r="B782" t="s">
        <v>804</v>
      </c>
      <c r="C782" t="s">
        <v>14</v>
      </c>
      <c r="D782">
        <v>78</v>
      </c>
      <c r="E782" s="17" t="s">
        <v>13</v>
      </c>
      <c r="F782" s="18">
        <v>45200</v>
      </c>
      <c r="G782">
        <v>135</v>
      </c>
      <c r="H782">
        <v>4.0999999999999996</v>
      </c>
      <c r="I782">
        <f>IF(MONTH(calls[[#This Row],[Date of Call]])&lt;=6, YEAR(calls[[#This Row],[Date of Call]]), YEAR(calls[[#This Row],[Date of Call]])+1)</f>
        <v>2024</v>
      </c>
      <c r="J782" t="str">
        <f>TEXT(calls[[#This Row],[Date of Call]],"DDDD")</f>
        <v>Sunday</v>
      </c>
      <c r="K782" t="str" cm="1">
        <f t="array" ref="K7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2">
        <f>ROUND(calls[[#This Row],[Satisfaction Rating]],0)</f>
        <v>4</v>
      </c>
    </row>
    <row r="783" spans="2:12">
      <c r="B783" t="s">
        <v>805</v>
      </c>
      <c r="C783" t="s">
        <v>19</v>
      </c>
      <c r="D783">
        <v>82</v>
      </c>
      <c r="E783" s="17" t="s">
        <v>9</v>
      </c>
      <c r="F783" s="18">
        <v>45200</v>
      </c>
      <c r="G783">
        <v>99</v>
      </c>
      <c r="H783">
        <v>4.2</v>
      </c>
      <c r="I783">
        <f>IF(MONTH(calls[[#This Row],[Date of Call]])&lt;=6, YEAR(calls[[#This Row],[Date of Call]]), YEAR(calls[[#This Row],[Date of Call]])+1)</f>
        <v>2024</v>
      </c>
      <c r="J783" t="str">
        <f>TEXT(calls[[#This Row],[Date of Call]],"DDDD")</f>
        <v>Sunday</v>
      </c>
      <c r="K783" t="str" cm="1">
        <f t="array" ref="K7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3">
        <f>ROUND(calls[[#This Row],[Satisfaction Rating]],0)</f>
        <v>4</v>
      </c>
    </row>
    <row r="784" spans="2:12">
      <c r="B784" t="s">
        <v>806</v>
      </c>
      <c r="C784" t="s">
        <v>18</v>
      </c>
      <c r="D784">
        <v>149</v>
      </c>
      <c r="E784" s="17" t="s">
        <v>11</v>
      </c>
      <c r="F784" s="18">
        <v>45200</v>
      </c>
      <c r="G784">
        <v>130</v>
      </c>
      <c r="H784">
        <v>3.3</v>
      </c>
      <c r="I784">
        <f>IF(MONTH(calls[[#This Row],[Date of Call]])&lt;=6, YEAR(calls[[#This Row],[Date of Call]]), YEAR(calls[[#This Row],[Date of Call]])+1)</f>
        <v>2024</v>
      </c>
      <c r="J784" t="str">
        <f>TEXT(calls[[#This Row],[Date of Call]],"DDDD")</f>
        <v>Sunday</v>
      </c>
      <c r="K784" t="str" cm="1">
        <f t="array" ref="K78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84">
        <f>ROUND(calls[[#This Row],[Satisfaction Rating]],0)</f>
        <v>3</v>
      </c>
    </row>
    <row r="785" spans="2:12">
      <c r="B785" t="s">
        <v>807</v>
      </c>
      <c r="C785" t="s">
        <v>15</v>
      </c>
      <c r="D785">
        <v>56</v>
      </c>
      <c r="E785" s="17" t="s">
        <v>6</v>
      </c>
      <c r="F785" s="18">
        <v>45200</v>
      </c>
      <c r="G785">
        <v>96</v>
      </c>
      <c r="H785">
        <v>4.7</v>
      </c>
      <c r="I785">
        <f>IF(MONTH(calls[[#This Row],[Date of Call]])&lt;=6, YEAR(calls[[#This Row],[Date of Call]]), YEAR(calls[[#This Row],[Date of Call]])+1)</f>
        <v>2024</v>
      </c>
      <c r="J785" t="str">
        <f>TEXT(calls[[#This Row],[Date of Call]],"DDDD")</f>
        <v>Sunday</v>
      </c>
      <c r="K785" t="str" cm="1">
        <f t="array" ref="K78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85">
        <f>ROUND(calls[[#This Row],[Satisfaction Rating]],0)</f>
        <v>5</v>
      </c>
    </row>
    <row r="786" spans="2:12">
      <c r="B786" t="s">
        <v>808</v>
      </c>
      <c r="C786" t="s">
        <v>8</v>
      </c>
      <c r="D786">
        <v>80</v>
      </c>
      <c r="E786" s="17" t="s">
        <v>11</v>
      </c>
      <c r="F786" s="18">
        <v>45200</v>
      </c>
      <c r="G786">
        <v>128</v>
      </c>
      <c r="H786">
        <v>3.7</v>
      </c>
      <c r="I786">
        <f>IF(MONTH(calls[[#This Row],[Date of Call]])&lt;=6, YEAR(calls[[#This Row],[Date of Call]]), YEAR(calls[[#This Row],[Date of Call]])+1)</f>
        <v>2024</v>
      </c>
      <c r="J786" t="str">
        <f>TEXT(calls[[#This Row],[Date of Call]],"DDDD")</f>
        <v>Sunday</v>
      </c>
      <c r="K786" t="str" cm="1">
        <f t="array" ref="K7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6">
        <f>ROUND(calls[[#This Row],[Satisfaction Rating]],0)</f>
        <v>4</v>
      </c>
    </row>
    <row r="787" spans="2:12">
      <c r="B787" t="s">
        <v>809</v>
      </c>
      <c r="C787" t="s">
        <v>5</v>
      </c>
      <c r="D787">
        <v>131</v>
      </c>
      <c r="E787" s="17" t="s">
        <v>10</v>
      </c>
      <c r="F787" s="18">
        <v>45200</v>
      </c>
      <c r="G787">
        <v>69</v>
      </c>
      <c r="H787">
        <v>4.7</v>
      </c>
      <c r="I787">
        <f>IF(MONTH(calls[[#This Row],[Date of Call]])&lt;=6, YEAR(calls[[#This Row],[Date of Call]]), YEAR(calls[[#This Row],[Date of Call]])+1)</f>
        <v>2024</v>
      </c>
      <c r="J787" t="str">
        <f>TEXT(calls[[#This Row],[Date of Call]],"DDDD")</f>
        <v>Sunday</v>
      </c>
      <c r="K787" t="str" cm="1">
        <f t="array" ref="K78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87">
        <f>ROUND(calls[[#This Row],[Satisfaction Rating]],0)</f>
        <v>5</v>
      </c>
    </row>
    <row r="788" spans="2:12">
      <c r="B788" t="s">
        <v>810</v>
      </c>
      <c r="C788" t="s">
        <v>5</v>
      </c>
      <c r="D788">
        <v>109</v>
      </c>
      <c r="E788" s="17" t="s">
        <v>10</v>
      </c>
      <c r="F788" s="18">
        <v>45200</v>
      </c>
      <c r="G788">
        <v>44</v>
      </c>
      <c r="H788">
        <v>4.5999999999999996</v>
      </c>
      <c r="I788">
        <f>IF(MONTH(calls[[#This Row],[Date of Call]])&lt;=6, YEAR(calls[[#This Row],[Date of Call]]), YEAR(calls[[#This Row],[Date of Call]])+1)</f>
        <v>2024</v>
      </c>
      <c r="J788" t="str">
        <f>TEXT(calls[[#This Row],[Date of Call]],"DDDD")</f>
        <v>Sunday</v>
      </c>
      <c r="K788" t="str" cm="1">
        <f t="array" ref="K7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8">
        <f>ROUND(calls[[#This Row],[Satisfaction Rating]],0)</f>
        <v>5</v>
      </c>
    </row>
    <row r="789" spans="2:12">
      <c r="B789" t="s">
        <v>811</v>
      </c>
      <c r="C789" t="s">
        <v>15</v>
      </c>
      <c r="D789">
        <v>142</v>
      </c>
      <c r="E789" s="17" t="s">
        <v>10</v>
      </c>
      <c r="F789" s="18">
        <v>45200</v>
      </c>
      <c r="G789">
        <v>44</v>
      </c>
      <c r="H789">
        <v>4.8</v>
      </c>
      <c r="I789">
        <f>IF(MONTH(calls[[#This Row],[Date of Call]])&lt;=6, YEAR(calls[[#This Row],[Date of Call]]), YEAR(calls[[#This Row],[Date of Call]])+1)</f>
        <v>2024</v>
      </c>
      <c r="J789" t="str">
        <f>TEXT(calls[[#This Row],[Date of Call]],"DDDD")</f>
        <v>Sunday</v>
      </c>
      <c r="K789" t="str" cm="1">
        <f t="array" ref="K78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89">
        <f>ROUND(calls[[#This Row],[Satisfaction Rating]],0)</f>
        <v>5</v>
      </c>
    </row>
    <row r="790" spans="2:12">
      <c r="B790" t="s">
        <v>812</v>
      </c>
      <c r="C790" t="s">
        <v>22</v>
      </c>
      <c r="D790">
        <v>114</v>
      </c>
      <c r="E790" s="17" t="s">
        <v>6</v>
      </c>
      <c r="F790" s="18">
        <v>45201</v>
      </c>
      <c r="G790">
        <v>135</v>
      </c>
      <c r="H790">
        <v>2</v>
      </c>
      <c r="I790">
        <f>IF(MONTH(calls[[#This Row],[Date of Call]])&lt;=6, YEAR(calls[[#This Row],[Date of Call]]), YEAR(calls[[#This Row],[Date of Call]])+1)</f>
        <v>2024</v>
      </c>
      <c r="J790" t="str">
        <f>TEXT(calls[[#This Row],[Date of Call]],"DDDD")</f>
        <v>Monday</v>
      </c>
      <c r="K790" t="str" cm="1">
        <f t="array" ref="K7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0">
        <f>ROUND(calls[[#This Row],[Satisfaction Rating]],0)</f>
        <v>2</v>
      </c>
    </row>
    <row r="791" spans="2:12">
      <c r="B791" t="s">
        <v>813</v>
      </c>
      <c r="C791" t="s">
        <v>21</v>
      </c>
      <c r="D791">
        <v>93</v>
      </c>
      <c r="E791" s="17" t="s">
        <v>11</v>
      </c>
      <c r="F791" s="18">
        <v>45201</v>
      </c>
      <c r="G791">
        <v>45</v>
      </c>
      <c r="H791">
        <v>3.9</v>
      </c>
      <c r="I791">
        <f>IF(MONTH(calls[[#This Row],[Date of Call]])&lt;=6, YEAR(calls[[#This Row],[Date of Call]]), YEAR(calls[[#This Row],[Date of Call]])+1)</f>
        <v>2024</v>
      </c>
      <c r="J791" t="str">
        <f>TEXT(calls[[#This Row],[Date of Call]],"DDDD")</f>
        <v>Monday</v>
      </c>
      <c r="K791" t="str" cm="1">
        <f t="array" ref="K7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1">
        <f>ROUND(calls[[#This Row],[Satisfaction Rating]],0)</f>
        <v>4</v>
      </c>
    </row>
    <row r="792" spans="2:12">
      <c r="B792" t="s">
        <v>814</v>
      </c>
      <c r="C792" t="s">
        <v>17</v>
      </c>
      <c r="D792">
        <v>43</v>
      </c>
      <c r="E792" s="17" t="s">
        <v>11</v>
      </c>
      <c r="F792" s="18">
        <v>45201</v>
      </c>
      <c r="G792">
        <v>87</v>
      </c>
      <c r="H792">
        <v>3</v>
      </c>
      <c r="I792">
        <f>IF(MONTH(calls[[#This Row],[Date of Call]])&lt;=6, YEAR(calls[[#This Row],[Date of Call]]), YEAR(calls[[#This Row],[Date of Call]])+1)</f>
        <v>2024</v>
      </c>
      <c r="J792" t="str">
        <f>TEXT(calls[[#This Row],[Date of Call]],"DDDD")</f>
        <v>Monday</v>
      </c>
      <c r="K792" t="str" cm="1">
        <f t="array" ref="K79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92">
        <f>ROUND(calls[[#This Row],[Satisfaction Rating]],0)</f>
        <v>3</v>
      </c>
    </row>
    <row r="793" spans="2:12">
      <c r="B793" t="s">
        <v>815</v>
      </c>
      <c r="C793" t="s">
        <v>24</v>
      </c>
      <c r="D793">
        <v>78</v>
      </c>
      <c r="E793" s="17" t="s">
        <v>13</v>
      </c>
      <c r="F793" s="18">
        <v>45202</v>
      </c>
      <c r="G793">
        <v>84</v>
      </c>
      <c r="H793">
        <v>4.5999999999999996</v>
      </c>
      <c r="I793">
        <f>IF(MONTH(calls[[#This Row],[Date of Call]])&lt;=6, YEAR(calls[[#This Row],[Date of Call]]), YEAR(calls[[#This Row],[Date of Call]])+1)</f>
        <v>2024</v>
      </c>
      <c r="J793" t="str">
        <f>TEXT(calls[[#This Row],[Date of Call]],"DDDD")</f>
        <v>Tuesday</v>
      </c>
      <c r="K793" t="str" cm="1">
        <f t="array" ref="K7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3">
        <f>ROUND(calls[[#This Row],[Satisfaction Rating]],0)</f>
        <v>5</v>
      </c>
    </row>
    <row r="794" spans="2:12">
      <c r="B794" t="s">
        <v>816</v>
      </c>
      <c r="C794" t="s">
        <v>22</v>
      </c>
      <c r="D794">
        <v>89</v>
      </c>
      <c r="E794" s="17" t="s">
        <v>10</v>
      </c>
      <c r="F794" s="18">
        <v>45202</v>
      </c>
      <c r="G794">
        <v>81</v>
      </c>
      <c r="H794">
        <v>3.8</v>
      </c>
      <c r="I794">
        <f>IF(MONTH(calls[[#This Row],[Date of Call]])&lt;=6, YEAR(calls[[#This Row],[Date of Call]]), YEAR(calls[[#This Row],[Date of Call]])+1)</f>
        <v>2024</v>
      </c>
      <c r="J794" t="str">
        <f>TEXT(calls[[#This Row],[Date of Call]],"DDDD")</f>
        <v>Tuesday</v>
      </c>
      <c r="K794" t="str" cm="1">
        <f t="array" ref="K79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4">
        <f>ROUND(calls[[#This Row],[Satisfaction Rating]],0)</f>
        <v>4</v>
      </c>
    </row>
    <row r="795" spans="2:12">
      <c r="B795" t="s">
        <v>817</v>
      </c>
      <c r="C795" t="s">
        <v>15</v>
      </c>
      <c r="D795">
        <v>82</v>
      </c>
      <c r="E795" s="17" t="s">
        <v>9</v>
      </c>
      <c r="F795" s="18">
        <v>45202</v>
      </c>
      <c r="G795">
        <v>130</v>
      </c>
      <c r="H795">
        <v>4.4000000000000004</v>
      </c>
      <c r="I795">
        <f>IF(MONTH(calls[[#This Row],[Date of Call]])&lt;=6, YEAR(calls[[#This Row],[Date of Call]]), YEAR(calls[[#This Row],[Date of Call]])+1)</f>
        <v>2024</v>
      </c>
      <c r="J795" t="str">
        <f>TEXT(calls[[#This Row],[Date of Call]],"DDDD")</f>
        <v>Tuesday</v>
      </c>
      <c r="K795" t="str" cm="1">
        <f t="array" ref="K7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5">
        <f>ROUND(calls[[#This Row],[Satisfaction Rating]],0)</f>
        <v>4</v>
      </c>
    </row>
    <row r="796" spans="2:12">
      <c r="B796" t="s">
        <v>818</v>
      </c>
      <c r="C796" t="s">
        <v>8</v>
      </c>
      <c r="D796">
        <v>86</v>
      </c>
      <c r="E796" s="17" t="s">
        <v>10</v>
      </c>
      <c r="F796" s="18">
        <v>45203</v>
      </c>
      <c r="G796">
        <v>92</v>
      </c>
      <c r="H796">
        <v>2.4</v>
      </c>
      <c r="I796">
        <f>IF(MONTH(calls[[#This Row],[Date of Call]])&lt;=6, YEAR(calls[[#This Row],[Date of Call]]), YEAR(calls[[#This Row],[Date of Call]])+1)</f>
        <v>2024</v>
      </c>
      <c r="J796" t="str">
        <f>TEXT(calls[[#This Row],[Date of Call]],"DDDD")</f>
        <v>Wednesday</v>
      </c>
      <c r="K796" t="str" cm="1">
        <f t="array" ref="K7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6">
        <f>ROUND(calls[[#This Row],[Satisfaction Rating]],0)</f>
        <v>2</v>
      </c>
    </row>
    <row r="797" spans="2:12">
      <c r="B797" t="s">
        <v>819</v>
      </c>
      <c r="C797" t="s">
        <v>16</v>
      </c>
      <c r="D797">
        <v>57</v>
      </c>
      <c r="E797" s="17" t="s">
        <v>13</v>
      </c>
      <c r="F797" s="18">
        <v>45203</v>
      </c>
      <c r="G797">
        <v>48</v>
      </c>
      <c r="H797">
        <v>4.5</v>
      </c>
      <c r="I797">
        <f>IF(MONTH(calls[[#This Row],[Date of Call]])&lt;=6, YEAR(calls[[#This Row],[Date of Call]]), YEAR(calls[[#This Row],[Date of Call]])+1)</f>
        <v>2024</v>
      </c>
      <c r="J797" t="str">
        <f>TEXT(calls[[#This Row],[Date of Call]],"DDDD")</f>
        <v>Wednesday</v>
      </c>
      <c r="K797" t="str" cm="1">
        <f t="array" ref="K79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97">
        <f>ROUND(calls[[#This Row],[Satisfaction Rating]],0)</f>
        <v>5</v>
      </c>
    </row>
    <row r="798" spans="2:12">
      <c r="B798" t="s">
        <v>820</v>
      </c>
      <c r="C798" t="s">
        <v>21</v>
      </c>
      <c r="D798">
        <v>103</v>
      </c>
      <c r="E798" s="17" t="s">
        <v>6</v>
      </c>
      <c r="F798" s="18">
        <v>45203</v>
      </c>
      <c r="G798">
        <v>160</v>
      </c>
      <c r="H798">
        <v>4.5</v>
      </c>
      <c r="I798">
        <f>IF(MONTH(calls[[#This Row],[Date of Call]])&lt;=6, YEAR(calls[[#This Row],[Date of Call]]), YEAR(calls[[#This Row],[Date of Call]])+1)</f>
        <v>2024</v>
      </c>
      <c r="J798" t="str">
        <f>TEXT(calls[[#This Row],[Date of Call]],"DDDD")</f>
        <v>Wednesday</v>
      </c>
      <c r="K798" t="str" cm="1">
        <f t="array" ref="K7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8">
        <f>ROUND(calls[[#This Row],[Satisfaction Rating]],0)</f>
        <v>5</v>
      </c>
    </row>
    <row r="799" spans="2:12">
      <c r="B799" t="s">
        <v>821</v>
      </c>
      <c r="C799" t="s">
        <v>14</v>
      </c>
      <c r="D799">
        <v>138</v>
      </c>
      <c r="E799" s="17" t="s">
        <v>13</v>
      </c>
      <c r="F799" s="18">
        <v>45204</v>
      </c>
      <c r="G799">
        <v>155</v>
      </c>
      <c r="H799">
        <v>2.7</v>
      </c>
      <c r="I799">
        <f>IF(MONTH(calls[[#This Row],[Date of Call]])&lt;=6, YEAR(calls[[#This Row],[Date of Call]]), YEAR(calls[[#This Row],[Date of Call]])+1)</f>
        <v>2024</v>
      </c>
      <c r="J799" t="str">
        <f>TEXT(calls[[#This Row],[Date of Call]],"DDDD")</f>
        <v>Thursday</v>
      </c>
      <c r="K799" t="str" cm="1">
        <f t="array" ref="K79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99">
        <f>ROUND(calls[[#This Row],[Satisfaction Rating]],0)</f>
        <v>3</v>
      </c>
    </row>
    <row r="800" spans="2:12">
      <c r="B800" t="s">
        <v>822</v>
      </c>
      <c r="C800" t="s">
        <v>18</v>
      </c>
      <c r="D800">
        <v>88</v>
      </c>
      <c r="E800" s="17" t="s">
        <v>9</v>
      </c>
      <c r="F800" s="18">
        <v>45204</v>
      </c>
      <c r="G800">
        <v>100</v>
      </c>
      <c r="H800">
        <v>4.9000000000000004</v>
      </c>
      <c r="I800">
        <f>IF(MONTH(calls[[#This Row],[Date of Call]])&lt;=6, YEAR(calls[[#This Row],[Date of Call]]), YEAR(calls[[#This Row],[Date of Call]])+1)</f>
        <v>2024</v>
      </c>
      <c r="J800" t="str">
        <f>TEXT(calls[[#This Row],[Date of Call]],"DDDD")</f>
        <v>Thursday</v>
      </c>
      <c r="K800" t="str" cm="1">
        <f t="array" ref="K8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0">
        <f>ROUND(calls[[#This Row],[Satisfaction Rating]],0)</f>
        <v>5</v>
      </c>
    </row>
    <row r="801" spans="2:12">
      <c r="B801" t="s">
        <v>823</v>
      </c>
      <c r="C801" t="s">
        <v>22</v>
      </c>
      <c r="D801">
        <v>118</v>
      </c>
      <c r="E801" s="17" t="s">
        <v>11</v>
      </c>
      <c r="F801" s="18">
        <v>45204</v>
      </c>
      <c r="G801">
        <v>56</v>
      </c>
      <c r="H801">
        <v>3.7</v>
      </c>
      <c r="I801">
        <f>IF(MONTH(calls[[#This Row],[Date of Call]])&lt;=6, YEAR(calls[[#This Row],[Date of Call]]), YEAR(calls[[#This Row],[Date of Call]])+1)</f>
        <v>2024</v>
      </c>
      <c r="J801" t="str">
        <f>TEXT(calls[[#This Row],[Date of Call]],"DDDD")</f>
        <v>Thursday</v>
      </c>
      <c r="K801" t="str" cm="1">
        <f t="array" ref="K8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1">
        <f>ROUND(calls[[#This Row],[Satisfaction Rating]],0)</f>
        <v>4</v>
      </c>
    </row>
    <row r="802" spans="2:12">
      <c r="B802" t="s">
        <v>824</v>
      </c>
      <c r="C802" t="s">
        <v>8</v>
      </c>
      <c r="D802">
        <v>4</v>
      </c>
      <c r="E802" s="17" t="s">
        <v>10</v>
      </c>
      <c r="F802" s="18">
        <v>45204</v>
      </c>
      <c r="G802">
        <v>170</v>
      </c>
      <c r="H802">
        <v>3.9</v>
      </c>
      <c r="I802">
        <f>IF(MONTH(calls[[#This Row],[Date of Call]])&lt;=6, YEAR(calls[[#This Row],[Date of Call]]), YEAR(calls[[#This Row],[Date of Call]])+1)</f>
        <v>2024</v>
      </c>
      <c r="J802" t="str">
        <f>TEXT(calls[[#This Row],[Date of Call]],"DDDD")</f>
        <v>Thursday</v>
      </c>
      <c r="K802" t="str" cm="1">
        <f t="array" ref="K802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802">
        <f>ROUND(calls[[#This Row],[Satisfaction Rating]],0)</f>
        <v>4</v>
      </c>
    </row>
    <row r="803" spans="2:12">
      <c r="B803" t="s">
        <v>825</v>
      </c>
      <c r="C803" t="s">
        <v>17</v>
      </c>
      <c r="D803">
        <v>78</v>
      </c>
      <c r="E803" s="17" t="s">
        <v>6</v>
      </c>
      <c r="F803" s="18">
        <v>45205</v>
      </c>
      <c r="G803">
        <v>74</v>
      </c>
      <c r="H803">
        <v>3.5</v>
      </c>
      <c r="I803">
        <f>IF(MONTH(calls[[#This Row],[Date of Call]])&lt;=6, YEAR(calls[[#This Row],[Date of Call]]), YEAR(calls[[#This Row],[Date of Call]])+1)</f>
        <v>2024</v>
      </c>
      <c r="J803" t="str">
        <f>TEXT(calls[[#This Row],[Date of Call]],"DDDD")</f>
        <v>Friday</v>
      </c>
      <c r="K803" t="str" cm="1">
        <f t="array" ref="K8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3">
        <f>ROUND(calls[[#This Row],[Satisfaction Rating]],0)</f>
        <v>4</v>
      </c>
    </row>
    <row r="804" spans="2:12">
      <c r="B804" t="s">
        <v>826</v>
      </c>
      <c r="C804" t="s">
        <v>7</v>
      </c>
      <c r="D804">
        <v>69</v>
      </c>
      <c r="E804" s="17" t="s">
        <v>10</v>
      </c>
      <c r="F804" s="18">
        <v>45205</v>
      </c>
      <c r="G804">
        <v>99</v>
      </c>
      <c r="H804">
        <v>2.7</v>
      </c>
      <c r="I804">
        <f>IF(MONTH(calls[[#This Row],[Date of Call]])&lt;=6, YEAR(calls[[#This Row],[Date of Call]]), YEAR(calls[[#This Row],[Date of Call]])+1)</f>
        <v>2024</v>
      </c>
      <c r="J804" t="str">
        <f>TEXT(calls[[#This Row],[Date of Call]],"DDDD")</f>
        <v>Friday</v>
      </c>
      <c r="K804" t="str" cm="1">
        <f t="array" ref="K8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4">
        <f>ROUND(calls[[#This Row],[Satisfaction Rating]],0)</f>
        <v>3</v>
      </c>
    </row>
    <row r="805" spans="2:12">
      <c r="B805" t="s">
        <v>827</v>
      </c>
      <c r="C805" t="s">
        <v>15</v>
      </c>
      <c r="D805">
        <v>90</v>
      </c>
      <c r="E805" s="17" t="s">
        <v>13</v>
      </c>
      <c r="F805" s="18">
        <v>45205</v>
      </c>
      <c r="G805">
        <v>84</v>
      </c>
      <c r="H805">
        <v>3.9</v>
      </c>
      <c r="I805">
        <f>IF(MONTH(calls[[#This Row],[Date of Call]])&lt;=6, YEAR(calls[[#This Row],[Date of Call]]), YEAR(calls[[#This Row],[Date of Call]])+1)</f>
        <v>2024</v>
      </c>
      <c r="J805" t="str">
        <f>TEXT(calls[[#This Row],[Date of Call]],"DDDD")</f>
        <v>Friday</v>
      </c>
      <c r="K805" t="str" cm="1">
        <f t="array" ref="K80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5">
        <f>ROUND(calls[[#This Row],[Satisfaction Rating]],0)</f>
        <v>4</v>
      </c>
    </row>
    <row r="806" spans="2:12">
      <c r="B806" t="s">
        <v>828</v>
      </c>
      <c r="C806" t="s">
        <v>7</v>
      </c>
      <c r="D806">
        <v>134</v>
      </c>
      <c r="E806" s="17" t="s">
        <v>10</v>
      </c>
      <c r="F806" s="18">
        <v>45205</v>
      </c>
      <c r="G806">
        <v>35</v>
      </c>
      <c r="H806">
        <v>3.4</v>
      </c>
      <c r="I806">
        <f>IF(MONTH(calls[[#This Row],[Date of Call]])&lt;=6, YEAR(calls[[#This Row],[Date of Call]]), YEAR(calls[[#This Row],[Date of Call]])+1)</f>
        <v>2024</v>
      </c>
      <c r="J806" t="str">
        <f>TEXT(calls[[#This Row],[Date of Call]],"DDDD")</f>
        <v>Friday</v>
      </c>
      <c r="K806" t="str" cm="1">
        <f t="array" ref="K80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06">
        <f>ROUND(calls[[#This Row],[Satisfaction Rating]],0)</f>
        <v>3</v>
      </c>
    </row>
    <row r="807" spans="2:12">
      <c r="B807" t="s">
        <v>829</v>
      </c>
      <c r="C807" t="s">
        <v>12</v>
      </c>
      <c r="D807">
        <v>65</v>
      </c>
      <c r="E807" s="17" t="s">
        <v>11</v>
      </c>
      <c r="F807" s="18">
        <v>45205</v>
      </c>
      <c r="G807">
        <v>150</v>
      </c>
      <c r="H807">
        <v>5</v>
      </c>
      <c r="I807">
        <f>IF(MONTH(calls[[#This Row],[Date of Call]])&lt;=6, YEAR(calls[[#This Row],[Date of Call]]), YEAR(calls[[#This Row],[Date of Call]])+1)</f>
        <v>2024</v>
      </c>
      <c r="J807" t="str">
        <f>TEXT(calls[[#This Row],[Date of Call]],"DDDD")</f>
        <v>Friday</v>
      </c>
      <c r="K807" t="str" cm="1">
        <f t="array" ref="K8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7">
        <f>ROUND(calls[[#This Row],[Satisfaction Rating]],0)</f>
        <v>5</v>
      </c>
    </row>
    <row r="808" spans="2:12">
      <c r="B808" t="s">
        <v>830</v>
      </c>
      <c r="C808" t="s">
        <v>23</v>
      </c>
      <c r="D808">
        <v>54</v>
      </c>
      <c r="E808" s="17" t="s">
        <v>6</v>
      </c>
      <c r="F808" s="18">
        <v>45206</v>
      </c>
      <c r="G808">
        <v>176</v>
      </c>
      <c r="H808">
        <v>4.4000000000000004</v>
      </c>
      <c r="I808">
        <f>IF(MONTH(calls[[#This Row],[Date of Call]])&lt;=6, YEAR(calls[[#This Row],[Date of Call]]), YEAR(calls[[#This Row],[Date of Call]])+1)</f>
        <v>2024</v>
      </c>
      <c r="J808" t="str">
        <f>TEXT(calls[[#This Row],[Date of Call]],"DDDD")</f>
        <v>Saturday</v>
      </c>
      <c r="K808" t="str" cm="1">
        <f t="array" ref="K80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08">
        <f>ROUND(calls[[#This Row],[Satisfaction Rating]],0)</f>
        <v>4</v>
      </c>
    </row>
    <row r="809" spans="2:12">
      <c r="B809" t="s">
        <v>831</v>
      </c>
      <c r="C809" t="s">
        <v>23</v>
      </c>
      <c r="D809">
        <v>90</v>
      </c>
      <c r="E809" s="17" t="s">
        <v>6</v>
      </c>
      <c r="F809" s="18">
        <v>45206</v>
      </c>
      <c r="G809">
        <v>84</v>
      </c>
      <c r="H809">
        <v>4.3</v>
      </c>
      <c r="I809">
        <f>IF(MONTH(calls[[#This Row],[Date of Call]])&lt;=6, YEAR(calls[[#This Row],[Date of Call]]), YEAR(calls[[#This Row],[Date of Call]])+1)</f>
        <v>2024</v>
      </c>
      <c r="J809" t="str">
        <f>TEXT(calls[[#This Row],[Date of Call]],"DDDD")</f>
        <v>Saturday</v>
      </c>
      <c r="K809" t="str" cm="1">
        <f t="array" ref="K8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9">
        <f>ROUND(calls[[#This Row],[Satisfaction Rating]],0)</f>
        <v>4</v>
      </c>
    </row>
    <row r="810" spans="2:12">
      <c r="B810" t="s">
        <v>832</v>
      </c>
      <c r="C810" t="s">
        <v>15</v>
      </c>
      <c r="D810">
        <v>66</v>
      </c>
      <c r="E810" s="17" t="s">
        <v>6</v>
      </c>
      <c r="F810" s="18">
        <v>45206</v>
      </c>
      <c r="G810">
        <v>136</v>
      </c>
      <c r="H810">
        <v>4.7</v>
      </c>
      <c r="I810">
        <f>IF(MONTH(calls[[#This Row],[Date of Call]])&lt;=6, YEAR(calls[[#This Row],[Date of Call]]), YEAR(calls[[#This Row],[Date of Call]])+1)</f>
        <v>2024</v>
      </c>
      <c r="J810" t="str">
        <f>TEXT(calls[[#This Row],[Date of Call]],"DDDD")</f>
        <v>Saturday</v>
      </c>
      <c r="K810" t="str" cm="1">
        <f t="array" ref="K8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0">
        <f>ROUND(calls[[#This Row],[Satisfaction Rating]],0)</f>
        <v>5</v>
      </c>
    </row>
    <row r="811" spans="2:12">
      <c r="B811" t="s">
        <v>833</v>
      </c>
      <c r="C811" t="s">
        <v>8</v>
      </c>
      <c r="D811">
        <v>150</v>
      </c>
      <c r="E811" s="17" t="s">
        <v>6</v>
      </c>
      <c r="F811" s="18">
        <v>45207</v>
      </c>
      <c r="G811">
        <v>70</v>
      </c>
      <c r="H811">
        <v>4.0999999999999996</v>
      </c>
      <c r="I811">
        <f>IF(MONTH(calls[[#This Row],[Date of Call]])&lt;=6, YEAR(calls[[#This Row],[Date of Call]]), YEAR(calls[[#This Row],[Date of Call]])+1)</f>
        <v>2024</v>
      </c>
      <c r="J811" t="str">
        <f>TEXT(calls[[#This Row],[Date of Call]],"DDDD")</f>
        <v>Sunday</v>
      </c>
      <c r="K811" t="str" cm="1">
        <f t="array" ref="K81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11">
        <f>ROUND(calls[[#This Row],[Satisfaction Rating]],0)</f>
        <v>4</v>
      </c>
    </row>
    <row r="812" spans="2:12">
      <c r="B812" t="s">
        <v>834</v>
      </c>
      <c r="C812" t="s">
        <v>24</v>
      </c>
      <c r="D812">
        <v>18</v>
      </c>
      <c r="E812" s="17" t="s">
        <v>11</v>
      </c>
      <c r="F812" s="18">
        <v>45207</v>
      </c>
      <c r="G812">
        <v>96</v>
      </c>
      <c r="H812">
        <v>4.8</v>
      </c>
      <c r="I812">
        <f>IF(MONTH(calls[[#This Row],[Date of Call]])&lt;=6, YEAR(calls[[#This Row],[Date of Call]]), YEAR(calls[[#This Row],[Date of Call]])+1)</f>
        <v>2024</v>
      </c>
      <c r="J812" t="str">
        <f>TEXT(calls[[#This Row],[Date of Call]],"DDDD")</f>
        <v>Sunday</v>
      </c>
      <c r="K812" t="str" cm="1">
        <f t="array" ref="K81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12">
        <f>ROUND(calls[[#This Row],[Satisfaction Rating]],0)</f>
        <v>5</v>
      </c>
    </row>
    <row r="813" spans="2:12">
      <c r="B813" t="s">
        <v>835</v>
      </c>
      <c r="C813" t="s">
        <v>23</v>
      </c>
      <c r="D813">
        <v>87</v>
      </c>
      <c r="E813" s="17" t="s">
        <v>11</v>
      </c>
      <c r="F813" s="18">
        <v>45207</v>
      </c>
      <c r="G813">
        <v>23</v>
      </c>
      <c r="H813">
        <v>4.2</v>
      </c>
      <c r="I813">
        <f>IF(MONTH(calls[[#This Row],[Date of Call]])&lt;=6, YEAR(calls[[#This Row],[Date of Call]]), YEAR(calls[[#This Row],[Date of Call]])+1)</f>
        <v>2024</v>
      </c>
      <c r="J813" t="str">
        <f>TEXT(calls[[#This Row],[Date of Call]],"DDDD")</f>
        <v>Sunday</v>
      </c>
      <c r="K813" t="str" cm="1">
        <f t="array" ref="K8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3">
        <f>ROUND(calls[[#This Row],[Satisfaction Rating]],0)</f>
        <v>4</v>
      </c>
    </row>
    <row r="814" spans="2:12">
      <c r="B814" t="s">
        <v>836</v>
      </c>
      <c r="C814" t="s">
        <v>14</v>
      </c>
      <c r="D814">
        <v>94</v>
      </c>
      <c r="E814" s="17" t="s">
        <v>6</v>
      </c>
      <c r="F814" s="18">
        <v>45208</v>
      </c>
      <c r="G814">
        <v>120</v>
      </c>
      <c r="H814">
        <v>3.4</v>
      </c>
      <c r="I814">
        <f>IF(MONTH(calls[[#This Row],[Date of Call]])&lt;=6, YEAR(calls[[#This Row],[Date of Call]]), YEAR(calls[[#This Row],[Date of Call]])+1)</f>
        <v>2024</v>
      </c>
      <c r="J814" t="str">
        <f>TEXT(calls[[#This Row],[Date of Call]],"DDDD")</f>
        <v>Monday</v>
      </c>
      <c r="K814" t="str" cm="1">
        <f t="array" ref="K8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4">
        <f>ROUND(calls[[#This Row],[Satisfaction Rating]],0)</f>
        <v>3</v>
      </c>
    </row>
    <row r="815" spans="2:12">
      <c r="B815" t="s">
        <v>837</v>
      </c>
      <c r="C815" t="s">
        <v>16</v>
      </c>
      <c r="D815">
        <v>56</v>
      </c>
      <c r="E815" s="17" t="s">
        <v>6</v>
      </c>
      <c r="F815" s="18">
        <v>45208</v>
      </c>
      <c r="G815">
        <v>205</v>
      </c>
      <c r="H815">
        <v>3.3</v>
      </c>
      <c r="I815">
        <f>IF(MONTH(calls[[#This Row],[Date of Call]])&lt;=6, YEAR(calls[[#This Row],[Date of Call]]), YEAR(calls[[#This Row],[Date of Call]])+1)</f>
        <v>2024</v>
      </c>
      <c r="J815" t="str">
        <f>TEXT(calls[[#This Row],[Date of Call]],"DDDD")</f>
        <v>Monday</v>
      </c>
      <c r="K815" t="str" cm="1">
        <f t="array" ref="K81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15">
        <f>ROUND(calls[[#This Row],[Satisfaction Rating]],0)</f>
        <v>3</v>
      </c>
    </row>
    <row r="816" spans="2:12">
      <c r="B816" t="s">
        <v>838</v>
      </c>
      <c r="C816" t="s">
        <v>22</v>
      </c>
      <c r="D816">
        <v>41</v>
      </c>
      <c r="E816" s="17" t="s">
        <v>9</v>
      </c>
      <c r="F816" s="18">
        <v>45209</v>
      </c>
      <c r="G816">
        <v>42</v>
      </c>
      <c r="H816">
        <v>3.8</v>
      </c>
      <c r="I816">
        <f>IF(MONTH(calls[[#This Row],[Date of Call]])&lt;=6, YEAR(calls[[#This Row],[Date of Call]]), YEAR(calls[[#This Row],[Date of Call]])+1)</f>
        <v>2024</v>
      </c>
      <c r="J816" t="str">
        <f>TEXT(calls[[#This Row],[Date of Call]],"DDDD")</f>
        <v>Tuesday</v>
      </c>
      <c r="K816" t="str" cm="1">
        <f t="array" ref="K81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16">
        <f>ROUND(calls[[#This Row],[Satisfaction Rating]],0)</f>
        <v>4</v>
      </c>
    </row>
    <row r="817" spans="2:12">
      <c r="B817" t="s">
        <v>839</v>
      </c>
      <c r="C817" t="s">
        <v>8</v>
      </c>
      <c r="D817">
        <v>119</v>
      </c>
      <c r="E817" s="17" t="s">
        <v>13</v>
      </c>
      <c r="F817" s="18">
        <v>45209</v>
      </c>
      <c r="G817">
        <v>111</v>
      </c>
      <c r="H817">
        <v>3.9</v>
      </c>
      <c r="I817">
        <f>IF(MONTH(calls[[#This Row],[Date of Call]])&lt;=6, YEAR(calls[[#This Row],[Date of Call]]), YEAR(calls[[#This Row],[Date of Call]])+1)</f>
        <v>2024</v>
      </c>
      <c r="J817" t="str">
        <f>TEXT(calls[[#This Row],[Date of Call]],"DDDD")</f>
        <v>Tuesday</v>
      </c>
      <c r="K817" t="str" cm="1">
        <f t="array" ref="K81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7">
        <f>ROUND(calls[[#This Row],[Satisfaction Rating]],0)</f>
        <v>4</v>
      </c>
    </row>
    <row r="818" spans="2:12">
      <c r="B818" t="s">
        <v>840</v>
      </c>
      <c r="C818" t="s">
        <v>21</v>
      </c>
      <c r="D818">
        <v>108</v>
      </c>
      <c r="E818" s="17" t="s">
        <v>6</v>
      </c>
      <c r="F818" s="18">
        <v>45209</v>
      </c>
      <c r="G818">
        <v>68</v>
      </c>
      <c r="H818">
        <v>2.5</v>
      </c>
      <c r="I818">
        <f>IF(MONTH(calls[[#This Row],[Date of Call]])&lt;=6, YEAR(calls[[#This Row],[Date of Call]]), YEAR(calls[[#This Row],[Date of Call]])+1)</f>
        <v>2024</v>
      </c>
      <c r="J818" t="str">
        <f>TEXT(calls[[#This Row],[Date of Call]],"DDDD")</f>
        <v>Tuesday</v>
      </c>
      <c r="K818" t="str" cm="1">
        <f t="array" ref="K81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8">
        <f>ROUND(calls[[#This Row],[Satisfaction Rating]],0)</f>
        <v>3</v>
      </c>
    </row>
    <row r="819" spans="2:12">
      <c r="B819" t="s">
        <v>841</v>
      </c>
      <c r="C819" t="s">
        <v>17</v>
      </c>
      <c r="D819">
        <v>63</v>
      </c>
      <c r="E819" s="17" t="s">
        <v>10</v>
      </c>
      <c r="F819" s="18">
        <v>45209</v>
      </c>
      <c r="G819">
        <v>172</v>
      </c>
      <c r="H819">
        <v>4.9000000000000004</v>
      </c>
      <c r="I819">
        <f>IF(MONTH(calls[[#This Row],[Date of Call]])&lt;=6, YEAR(calls[[#This Row],[Date of Call]]), YEAR(calls[[#This Row],[Date of Call]])+1)</f>
        <v>2024</v>
      </c>
      <c r="J819" t="str">
        <f>TEXT(calls[[#This Row],[Date of Call]],"DDDD")</f>
        <v>Tuesday</v>
      </c>
      <c r="K819" t="str" cm="1">
        <f t="array" ref="K8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9">
        <f>ROUND(calls[[#This Row],[Satisfaction Rating]],0)</f>
        <v>5</v>
      </c>
    </row>
    <row r="820" spans="2:12">
      <c r="B820" t="s">
        <v>842</v>
      </c>
      <c r="C820" t="s">
        <v>19</v>
      </c>
      <c r="D820">
        <v>59</v>
      </c>
      <c r="E820" s="17" t="s">
        <v>6</v>
      </c>
      <c r="F820" s="18">
        <v>45209</v>
      </c>
      <c r="G820">
        <v>152</v>
      </c>
      <c r="H820">
        <v>4.8</v>
      </c>
      <c r="I820">
        <f>IF(MONTH(calls[[#This Row],[Date of Call]])&lt;=6, YEAR(calls[[#This Row],[Date of Call]]), YEAR(calls[[#This Row],[Date of Call]])+1)</f>
        <v>2024</v>
      </c>
      <c r="J820" t="str">
        <f>TEXT(calls[[#This Row],[Date of Call]],"DDDD")</f>
        <v>Tuesday</v>
      </c>
      <c r="K820" t="str" cm="1">
        <f t="array" ref="K82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20">
        <f>ROUND(calls[[#This Row],[Satisfaction Rating]],0)</f>
        <v>5</v>
      </c>
    </row>
    <row r="821" spans="2:12">
      <c r="B821" t="s">
        <v>843</v>
      </c>
      <c r="C821" t="s">
        <v>19</v>
      </c>
      <c r="D821">
        <v>90</v>
      </c>
      <c r="E821" s="17" t="s">
        <v>9</v>
      </c>
      <c r="F821" s="18">
        <v>45209</v>
      </c>
      <c r="G821">
        <v>48</v>
      </c>
      <c r="H821">
        <v>4.7</v>
      </c>
      <c r="I821">
        <f>IF(MONTH(calls[[#This Row],[Date of Call]])&lt;=6, YEAR(calls[[#This Row],[Date of Call]]), YEAR(calls[[#This Row],[Date of Call]])+1)</f>
        <v>2024</v>
      </c>
      <c r="J821" t="str">
        <f>TEXT(calls[[#This Row],[Date of Call]],"DDDD")</f>
        <v>Tuesday</v>
      </c>
      <c r="K821" t="str" cm="1">
        <f t="array" ref="K8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1">
        <f>ROUND(calls[[#This Row],[Satisfaction Rating]],0)</f>
        <v>5</v>
      </c>
    </row>
    <row r="822" spans="2:12">
      <c r="B822" t="s">
        <v>844</v>
      </c>
      <c r="C822" t="s">
        <v>18</v>
      </c>
      <c r="D822">
        <v>55</v>
      </c>
      <c r="E822" s="17" t="s">
        <v>9</v>
      </c>
      <c r="F822" s="18">
        <v>45209</v>
      </c>
      <c r="G822">
        <v>25</v>
      </c>
      <c r="H822">
        <v>4.7</v>
      </c>
      <c r="I822">
        <f>IF(MONTH(calls[[#This Row],[Date of Call]])&lt;=6, YEAR(calls[[#This Row],[Date of Call]]), YEAR(calls[[#This Row],[Date of Call]])+1)</f>
        <v>2024</v>
      </c>
      <c r="J822" t="str">
        <f>TEXT(calls[[#This Row],[Date of Call]],"DDDD")</f>
        <v>Tuesday</v>
      </c>
      <c r="K822" t="str" cm="1">
        <f t="array" ref="K8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22">
        <f>ROUND(calls[[#This Row],[Satisfaction Rating]],0)</f>
        <v>5</v>
      </c>
    </row>
    <row r="823" spans="2:12">
      <c r="B823" t="s">
        <v>845</v>
      </c>
      <c r="C823" t="s">
        <v>21</v>
      </c>
      <c r="D823">
        <v>84</v>
      </c>
      <c r="E823" s="17" t="s">
        <v>13</v>
      </c>
      <c r="F823" s="18">
        <v>45210</v>
      </c>
      <c r="G823">
        <v>54</v>
      </c>
      <c r="H823">
        <v>3.3</v>
      </c>
      <c r="I823">
        <f>IF(MONTH(calls[[#This Row],[Date of Call]])&lt;=6, YEAR(calls[[#This Row],[Date of Call]]), YEAR(calls[[#This Row],[Date of Call]])+1)</f>
        <v>2024</v>
      </c>
      <c r="J823" t="str">
        <f>TEXT(calls[[#This Row],[Date of Call]],"DDDD")</f>
        <v>Wednesday</v>
      </c>
      <c r="K823" t="str" cm="1">
        <f t="array" ref="K8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3">
        <f>ROUND(calls[[#This Row],[Satisfaction Rating]],0)</f>
        <v>3</v>
      </c>
    </row>
    <row r="824" spans="2:12">
      <c r="B824" t="s">
        <v>846</v>
      </c>
      <c r="C824" t="s">
        <v>21</v>
      </c>
      <c r="D824">
        <v>150</v>
      </c>
      <c r="E824" s="17" t="s">
        <v>11</v>
      </c>
      <c r="F824" s="18">
        <v>45210</v>
      </c>
      <c r="G824">
        <v>108</v>
      </c>
      <c r="H824">
        <v>4.7</v>
      </c>
      <c r="I824">
        <f>IF(MONTH(calls[[#This Row],[Date of Call]])&lt;=6, YEAR(calls[[#This Row],[Date of Call]]), YEAR(calls[[#This Row],[Date of Call]])+1)</f>
        <v>2024</v>
      </c>
      <c r="J824" t="str">
        <f>TEXT(calls[[#This Row],[Date of Call]],"DDDD")</f>
        <v>Wednesday</v>
      </c>
      <c r="K824" t="str" cm="1">
        <f t="array" ref="K82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24">
        <f>ROUND(calls[[#This Row],[Satisfaction Rating]],0)</f>
        <v>5</v>
      </c>
    </row>
    <row r="825" spans="2:12">
      <c r="B825" t="s">
        <v>847</v>
      </c>
      <c r="C825" t="s">
        <v>5</v>
      </c>
      <c r="D825">
        <v>69</v>
      </c>
      <c r="E825" s="17" t="s">
        <v>6</v>
      </c>
      <c r="F825" s="18">
        <v>45210</v>
      </c>
      <c r="G825">
        <v>36</v>
      </c>
      <c r="H825">
        <v>4.5</v>
      </c>
      <c r="I825">
        <f>IF(MONTH(calls[[#This Row],[Date of Call]])&lt;=6, YEAR(calls[[#This Row],[Date of Call]]), YEAR(calls[[#This Row],[Date of Call]])+1)</f>
        <v>2024</v>
      </c>
      <c r="J825" t="str">
        <f>TEXT(calls[[#This Row],[Date of Call]],"DDDD")</f>
        <v>Wednesday</v>
      </c>
      <c r="K825" t="str" cm="1">
        <f t="array" ref="K8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5">
        <f>ROUND(calls[[#This Row],[Satisfaction Rating]],0)</f>
        <v>5</v>
      </c>
    </row>
    <row r="826" spans="2:12">
      <c r="B826" t="s">
        <v>848</v>
      </c>
      <c r="C826" t="s">
        <v>20</v>
      </c>
      <c r="D826">
        <v>120</v>
      </c>
      <c r="E826" s="17" t="s">
        <v>9</v>
      </c>
      <c r="F826" s="18">
        <v>45211</v>
      </c>
      <c r="G826">
        <v>140</v>
      </c>
      <c r="H826">
        <v>4.5999999999999996</v>
      </c>
      <c r="I826">
        <f>IF(MONTH(calls[[#This Row],[Date of Call]])&lt;=6, YEAR(calls[[#This Row],[Date of Call]]), YEAR(calls[[#This Row],[Date of Call]])+1)</f>
        <v>2024</v>
      </c>
      <c r="J826" t="str">
        <f>TEXT(calls[[#This Row],[Date of Call]],"DDDD")</f>
        <v>Thursday</v>
      </c>
      <c r="K826" t="str" cm="1">
        <f t="array" ref="K82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6">
        <f>ROUND(calls[[#This Row],[Satisfaction Rating]],0)</f>
        <v>5</v>
      </c>
    </row>
    <row r="827" spans="2:12">
      <c r="B827" t="s">
        <v>849</v>
      </c>
      <c r="C827" t="s">
        <v>23</v>
      </c>
      <c r="D827">
        <v>126</v>
      </c>
      <c r="E827" s="17" t="s">
        <v>13</v>
      </c>
      <c r="F827" s="18">
        <v>45211</v>
      </c>
      <c r="G827">
        <v>50</v>
      </c>
      <c r="H827">
        <v>4.8</v>
      </c>
      <c r="I827">
        <f>IF(MONTH(calls[[#This Row],[Date of Call]])&lt;=6, YEAR(calls[[#This Row],[Date of Call]]), YEAR(calls[[#This Row],[Date of Call]])+1)</f>
        <v>2024</v>
      </c>
      <c r="J827" t="str">
        <f>TEXT(calls[[#This Row],[Date of Call]],"DDDD")</f>
        <v>Thursday</v>
      </c>
      <c r="K827" t="str" cm="1">
        <f t="array" ref="K8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27">
        <f>ROUND(calls[[#This Row],[Satisfaction Rating]],0)</f>
        <v>5</v>
      </c>
    </row>
    <row r="828" spans="2:12">
      <c r="B828" t="s">
        <v>850</v>
      </c>
      <c r="C828" t="s">
        <v>5</v>
      </c>
      <c r="D828">
        <v>120</v>
      </c>
      <c r="E828" s="17" t="s">
        <v>10</v>
      </c>
      <c r="F828" s="18">
        <v>45211</v>
      </c>
      <c r="G828">
        <v>195</v>
      </c>
      <c r="H828">
        <v>4.3</v>
      </c>
      <c r="I828">
        <f>IF(MONTH(calls[[#This Row],[Date of Call]])&lt;=6, YEAR(calls[[#This Row],[Date of Call]]), YEAR(calls[[#This Row],[Date of Call]])+1)</f>
        <v>2024</v>
      </c>
      <c r="J828" t="str">
        <f>TEXT(calls[[#This Row],[Date of Call]],"DDDD")</f>
        <v>Thursday</v>
      </c>
      <c r="K828" t="str" cm="1">
        <f t="array" ref="K8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8">
        <f>ROUND(calls[[#This Row],[Satisfaction Rating]],0)</f>
        <v>4</v>
      </c>
    </row>
    <row r="829" spans="2:12">
      <c r="B829" t="s">
        <v>851</v>
      </c>
      <c r="C829" t="s">
        <v>23</v>
      </c>
      <c r="D829">
        <v>139</v>
      </c>
      <c r="E829" s="17" t="s">
        <v>9</v>
      </c>
      <c r="F829" s="18">
        <v>45212</v>
      </c>
      <c r="G829">
        <v>48</v>
      </c>
      <c r="H829">
        <v>4.7</v>
      </c>
      <c r="I829">
        <f>IF(MONTH(calls[[#This Row],[Date of Call]])&lt;=6, YEAR(calls[[#This Row],[Date of Call]]), YEAR(calls[[#This Row],[Date of Call]])+1)</f>
        <v>2024</v>
      </c>
      <c r="J829" t="str">
        <f>TEXT(calls[[#This Row],[Date of Call]],"DDDD")</f>
        <v>Friday</v>
      </c>
      <c r="K829" t="str" cm="1">
        <f t="array" ref="K82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29">
        <f>ROUND(calls[[#This Row],[Satisfaction Rating]],0)</f>
        <v>5</v>
      </c>
    </row>
    <row r="830" spans="2:12">
      <c r="B830" t="s">
        <v>852</v>
      </c>
      <c r="C830" t="s">
        <v>18</v>
      </c>
      <c r="D830">
        <v>124</v>
      </c>
      <c r="E830" s="17" t="s">
        <v>6</v>
      </c>
      <c r="F830" s="18">
        <v>45213</v>
      </c>
      <c r="G830">
        <v>29</v>
      </c>
      <c r="H830">
        <v>4.8</v>
      </c>
      <c r="I830">
        <f>IF(MONTH(calls[[#This Row],[Date of Call]])&lt;=6, YEAR(calls[[#This Row],[Date of Call]]), YEAR(calls[[#This Row],[Date of Call]])+1)</f>
        <v>2024</v>
      </c>
      <c r="J830" t="str">
        <f>TEXT(calls[[#This Row],[Date of Call]],"DDDD")</f>
        <v>Saturday</v>
      </c>
      <c r="K830" t="str" cm="1">
        <f t="array" ref="K8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0">
        <f>ROUND(calls[[#This Row],[Satisfaction Rating]],0)</f>
        <v>5</v>
      </c>
    </row>
    <row r="831" spans="2:12">
      <c r="B831" t="s">
        <v>853</v>
      </c>
      <c r="C831" t="s">
        <v>20</v>
      </c>
      <c r="D831">
        <v>108</v>
      </c>
      <c r="E831" s="17" t="s">
        <v>10</v>
      </c>
      <c r="F831" s="18">
        <v>45213</v>
      </c>
      <c r="G831">
        <v>44</v>
      </c>
      <c r="H831">
        <v>4.7</v>
      </c>
      <c r="I831">
        <f>IF(MONTH(calls[[#This Row],[Date of Call]])&lt;=6, YEAR(calls[[#This Row],[Date of Call]]), YEAR(calls[[#This Row],[Date of Call]])+1)</f>
        <v>2024</v>
      </c>
      <c r="J831" t="str">
        <f>TEXT(calls[[#This Row],[Date of Call]],"DDDD")</f>
        <v>Saturday</v>
      </c>
      <c r="K831" t="str" cm="1">
        <f t="array" ref="K8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1">
        <f>ROUND(calls[[#This Row],[Satisfaction Rating]],0)</f>
        <v>5</v>
      </c>
    </row>
    <row r="832" spans="2:12">
      <c r="B832" t="s">
        <v>854</v>
      </c>
      <c r="C832" t="s">
        <v>12</v>
      </c>
      <c r="D832">
        <v>132</v>
      </c>
      <c r="E832" s="17" t="s">
        <v>11</v>
      </c>
      <c r="F832" s="18">
        <v>45213</v>
      </c>
      <c r="G832">
        <v>140</v>
      </c>
      <c r="H832">
        <v>4.3</v>
      </c>
      <c r="I832">
        <f>IF(MONTH(calls[[#This Row],[Date of Call]])&lt;=6, YEAR(calls[[#This Row],[Date of Call]]), YEAR(calls[[#This Row],[Date of Call]])+1)</f>
        <v>2024</v>
      </c>
      <c r="J832" t="str">
        <f>TEXT(calls[[#This Row],[Date of Call]],"DDDD")</f>
        <v>Saturday</v>
      </c>
      <c r="K832" t="str" cm="1">
        <f t="array" ref="K8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2">
        <f>ROUND(calls[[#This Row],[Satisfaction Rating]],0)</f>
        <v>4</v>
      </c>
    </row>
    <row r="833" spans="2:12">
      <c r="B833" t="s">
        <v>855</v>
      </c>
      <c r="C833" t="s">
        <v>17</v>
      </c>
      <c r="D833">
        <v>67</v>
      </c>
      <c r="E833" s="17" t="s">
        <v>11</v>
      </c>
      <c r="F833" s="18">
        <v>45213</v>
      </c>
      <c r="G833">
        <v>105</v>
      </c>
      <c r="H833">
        <v>3.8</v>
      </c>
      <c r="I833">
        <f>IF(MONTH(calls[[#This Row],[Date of Call]])&lt;=6, YEAR(calls[[#This Row],[Date of Call]]), YEAR(calls[[#This Row],[Date of Call]])+1)</f>
        <v>2024</v>
      </c>
      <c r="J833" t="str">
        <f>TEXT(calls[[#This Row],[Date of Call]],"DDDD")</f>
        <v>Saturday</v>
      </c>
      <c r="K833" t="str" cm="1">
        <f t="array" ref="K8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3">
        <f>ROUND(calls[[#This Row],[Satisfaction Rating]],0)</f>
        <v>4</v>
      </c>
    </row>
    <row r="834" spans="2:12">
      <c r="B834" t="s">
        <v>856</v>
      </c>
      <c r="C834" t="s">
        <v>15</v>
      </c>
      <c r="D834">
        <v>125</v>
      </c>
      <c r="E834" s="17" t="s">
        <v>11</v>
      </c>
      <c r="F834" s="18">
        <v>45213</v>
      </c>
      <c r="G834">
        <v>82</v>
      </c>
      <c r="H834">
        <v>4.5999999999999996</v>
      </c>
      <c r="I834">
        <f>IF(MONTH(calls[[#This Row],[Date of Call]])&lt;=6, YEAR(calls[[#This Row],[Date of Call]]), YEAR(calls[[#This Row],[Date of Call]])+1)</f>
        <v>2024</v>
      </c>
      <c r="J834" t="str">
        <f>TEXT(calls[[#This Row],[Date of Call]],"DDDD")</f>
        <v>Saturday</v>
      </c>
      <c r="K834" t="str" cm="1">
        <f t="array" ref="K83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4">
        <f>ROUND(calls[[#This Row],[Satisfaction Rating]],0)</f>
        <v>5</v>
      </c>
    </row>
    <row r="835" spans="2:12">
      <c r="B835" t="s">
        <v>857</v>
      </c>
      <c r="C835" t="s">
        <v>20</v>
      </c>
      <c r="D835">
        <v>23</v>
      </c>
      <c r="E835" s="17" t="s">
        <v>10</v>
      </c>
      <c r="F835" s="18">
        <v>45213</v>
      </c>
      <c r="G835">
        <v>24</v>
      </c>
      <c r="H835">
        <v>2.9</v>
      </c>
      <c r="I835">
        <f>IF(MONTH(calls[[#This Row],[Date of Call]])&lt;=6, YEAR(calls[[#This Row],[Date of Call]]), YEAR(calls[[#This Row],[Date of Call]])+1)</f>
        <v>2024</v>
      </c>
      <c r="J835" t="str">
        <f>TEXT(calls[[#This Row],[Date of Call]],"DDDD")</f>
        <v>Saturday</v>
      </c>
      <c r="K835" t="str" cm="1">
        <f t="array" ref="K83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35">
        <f>ROUND(calls[[#This Row],[Satisfaction Rating]],0)</f>
        <v>3</v>
      </c>
    </row>
    <row r="836" spans="2:12">
      <c r="B836" t="s">
        <v>858</v>
      </c>
      <c r="C836" t="s">
        <v>8</v>
      </c>
      <c r="D836">
        <v>131</v>
      </c>
      <c r="E836" s="17" t="s">
        <v>6</v>
      </c>
      <c r="F836" s="18">
        <v>45214</v>
      </c>
      <c r="G836">
        <v>205</v>
      </c>
      <c r="H836">
        <v>4.8</v>
      </c>
      <c r="I836">
        <f>IF(MONTH(calls[[#This Row],[Date of Call]])&lt;=6, YEAR(calls[[#This Row],[Date of Call]]), YEAR(calls[[#This Row],[Date of Call]])+1)</f>
        <v>2024</v>
      </c>
      <c r="J836" t="str">
        <f>TEXT(calls[[#This Row],[Date of Call]],"DDDD")</f>
        <v>Sunday</v>
      </c>
      <c r="K836" t="str" cm="1">
        <f t="array" ref="K83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6">
        <f>ROUND(calls[[#This Row],[Satisfaction Rating]],0)</f>
        <v>5</v>
      </c>
    </row>
    <row r="837" spans="2:12">
      <c r="B837" t="s">
        <v>859</v>
      </c>
      <c r="C837" t="s">
        <v>12</v>
      </c>
      <c r="D837">
        <v>56</v>
      </c>
      <c r="E837" s="17" t="s">
        <v>9</v>
      </c>
      <c r="F837" s="18">
        <v>45214</v>
      </c>
      <c r="G837">
        <v>225</v>
      </c>
      <c r="H837">
        <v>4.9000000000000004</v>
      </c>
      <c r="I837">
        <f>IF(MONTH(calls[[#This Row],[Date of Call]])&lt;=6, YEAR(calls[[#This Row],[Date of Call]]), YEAR(calls[[#This Row],[Date of Call]])+1)</f>
        <v>2024</v>
      </c>
      <c r="J837" t="str">
        <f>TEXT(calls[[#This Row],[Date of Call]],"DDDD")</f>
        <v>Sunday</v>
      </c>
      <c r="K837" t="str" cm="1">
        <f t="array" ref="K83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37">
        <f>ROUND(calls[[#This Row],[Satisfaction Rating]],0)</f>
        <v>5</v>
      </c>
    </row>
    <row r="838" spans="2:12">
      <c r="B838" t="s">
        <v>860</v>
      </c>
      <c r="C838" t="s">
        <v>8</v>
      </c>
      <c r="D838">
        <v>70</v>
      </c>
      <c r="E838" s="17" t="s">
        <v>6</v>
      </c>
      <c r="F838" s="18">
        <v>45214</v>
      </c>
      <c r="G838">
        <v>50</v>
      </c>
      <c r="H838">
        <v>3.4</v>
      </c>
      <c r="I838">
        <f>IF(MONTH(calls[[#This Row],[Date of Call]])&lt;=6, YEAR(calls[[#This Row],[Date of Call]]), YEAR(calls[[#This Row],[Date of Call]])+1)</f>
        <v>2024</v>
      </c>
      <c r="J838" t="str">
        <f>TEXT(calls[[#This Row],[Date of Call]],"DDDD")</f>
        <v>Sunday</v>
      </c>
      <c r="K838" t="str" cm="1">
        <f t="array" ref="K8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8">
        <f>ROUND(calls[[#This Row],[Satisfaction Rating]],0)</f>
        <v>3</v>
      </c>
    </row>
    <row r="839" spans="2:12">
      <c r="B839" t="s">
        <v>861</v>
      </c>
      <c r="C839" t="s">
        <v>8</v>
      </c>
      <c r="D839">
        <v>55</v>
      </c>
      <c r="E839" s="17" t="s">
        <v>11</v>
      </c>
      <c r="F839" s="18">
        <v>45214</v>
      </c>
      <c r="G839">
        <v>80</v>
      </c>
      <c r="H839">
        <v>4.3</v>
      </c>
      <c r="I839">
        <f>IF(MONTH(calls[[#This Row],[Date of Call]])&lt;=6, YEAR(calls[[#This Row],[Date of Call]]), YEAR(calls[[#This Row],[Date of Call]])+1)</f>
        <v>2024</v>
      </c>
      <c r="J839" t="str">
        <f>TEXT(calls[[#This Row],[Date of Call]],"DDDD")</f>
        <v>Sunday</v>
      </c>
      <c r="K839" t="str" cm="1">
        <f t="array" ref="K83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39">
        <f>ROUND(calls[[#This Row],[Satisfaction Rating]],0)</f>
        <v>4</v>
      </c>
    </row>
    <row r="840" spans="2:12">
      <c r="B840" t="s">
        <v>862</v>
      </c>
      <c r="C840" t="s">
        <v>15</v>
      </c>
      <c r="D840">
        <v>77</v>
      </c>
      <c r="E840" s="17" t="s">
        <v>9</v>
      </c>
      <c r="F840" s="18">
        <v>45214</v>
      </c>
      <c r="G840">
        <v>78</v>
      </c>
      <c r="H840">
        <v>3.9</v>
      </c>
      <c r="I840">
        <f>IF(MONTH(calls[[#This Row],[Date of Call]])&lt;=6, YEAR(calls[[#This Row],[Date of Call]]), YEAR(calls[[#This Row],[Date of Call]])+1)</f>
        <v>2024</v>
      </c>
      <c r="J840" t="str">
        <f>TEXT(calls[[#This Row],[Date of Call]],"DDDD")</f>
        <v>Sunday</v>
      </c>
      <c r="K840" t="str" cm="1">
        <f t="array" ref="K8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0">
        <f>ROUND(calls[[#This Row],[Satisfaction Rating]],0)</f>
        <v>4</v>
      </c>
    </row>
    <row r="841" spans="2:12">
      <c r="B841" t="s">
        <v>863</v>
      </c>
      <c r="C841" t="s">
        <v>21</v>
      </c>
      <c r="D841">
        <v>133</v>
      </c>
      <c r="E841" s="17" t="s">
        <v>6</v>
      </c>
      <c r="F841" s="18">
        <v>45215</v>
      </c>
      <c r="G841">
        <v>40</v>
      </c>
      <c r="H841">
        <v>3.9</v>
      </c>
      <c r="I841">
        <f>IF(MONTH(calls[[#This Row],[Date of Call]])&lt;=6, YEAR(calls[[#This Row],[Date of Call]]), YEAR(calls[[#This Row],[Date of Call]])+1)</f>
        <v>2024</v>
      </c>
      <c r="J841" t="str">
        <f>TEXT(calls[[#This Row],[Date of Call]],"DDDD")</f>
        <v>Monday</v>
      </c>
      <c r="K841" t="str" cm="1">
        <f t="array" ref="K84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41">
        <f>ROUND(calls[[#This Row],[Satisfaction Rating]],0)</f>
        <v>4</v>
      </c>
    </row>
    <row r="842" spans="2:12">
      <c r="B842" t="s">
        <v>864</v>
      </c>
      <c r="C842" t="s">
        <v>15</v>
      </c>
      <c r="D842">
        <v>77</v>
      </c>
      <c r="E842" s="17" t="s">
        <v>9</v>
      </c>
      <c r="F842" s="18">
        <v>45215</v>
      </c>
      <c r="G842">
        <v>176</v>
      </c>
      <c r="H842">
        <v>1.5</v>
      </c>
      <c r="I842">
        <f>IF(MONTH(calls[[#This Row],[Date of Call]])&lt;=6, YEAR(calls[[#This Row],[Date of Call]]), YEAR(calls[[#This Row],[Date of Call]])+1)</f>
        <v>2024</v>
      </c>
      <c r="J842" t="str">
        <f>TEXT(calls[[#This Row],[Date of Call]],"DDDD")</f>
        <v>Monday</v>
      </c>
      <c r="K842" t="str" cm="1">
        <f t="array" ref="K8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2">
        <f>ROUND(calls[[#This Row],[Satisfaction Rating]],0)</f>
        <v>2</v>
      </c>
    </row>
    <row r="843" spans="2:12">
      <c r="B843" t="s">
        <v>865</v>
      </c>
      <c r="C843" t="s">
        <v>19</v>
      </c>
      <c r="D843">
        <v>103</v>
      </c>
      <c r="E843" s="17" t="s">
        <v>6</v>
      </c>
      <c r="F843" s="18">
        <v>45215</v>
      </c>
      <c r="G843">
        <v>78</v>
      </c>
      <c r="H843">
        <v>3</v>
      </c>
      <c r="I843">
        <f>IF(MONTH(calls[[#This Row],[Date of Call]])&lt;=6, YEAR(calls[[#This Row],[Date of Call]]), YEAR(calls[[#This Row],[Date of Call]])+1)</f>
        <v>2024</v>
      </c>
      <c r="J843" t="str">
        <f>TEXT(calls[[#This Row],[Date of Call]],"DDDD")</f>
        <v>Monday</v>
      </c>
      <c r="K843" t="str" cm="1">
        <f t="array" ref="K8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3">
        <f>ROUND(calls[[#This Row],[Satisfaction Rating]],0)</f>
        <v>3</v>
      </c>
    </row>
    <row r="844" spans="2:12">
      <c r="B844" t="s">
        <v>866</v>
      </c>
      <c r="C844" t="s">
        <v>5</v>
      </c>
      <c r="D844">
        <v>32</v>
      </c>
      <c r="E844" s="17" t="s">
        <v>9</v>
      </c>
      <c r="F844" s="18">
        <v>45215</v>
      </c>
      <c r="G844">
        <v>42</v>
      </c>
      <c r="H844">
        <v>4.2</v>
      </c>
      <c r="I844">
        <f>IF(MONTH(calls[[#This Row],[Date of Call]])&lt;=6, YEAR(calls[[#This Row],[Date of Call]]), YEAR(calls[[#This Row],[Date of Call]])+1)</f>
        <v>2024</v>
      </c>
      <c r="J844" t="str">
        <f>TEXT(calls[[#This Row],[Date of Call]],"DDDD")</f>
        <v>Monday</v>
      </c>
      <c r="K844" t="str" cm="1">
        <f t="array" ref="K84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44">
        <f>ROUND(calls[[#This Row],[Satisfaction Rating]],0)</f>
        <v>4</v>
      </c>
    </row>
    <row r="845" spans="2:12">
      <c r="B845" t="s">
        <v>867</v>
      </c>
      <c r="C845" t="s">
        <v>21</v>
      </c>
      <c r="D845">
        <v>30</v>
      </c>
      <c r="E845" s="17" t="s">
        <v>6</v>
      </c>
      <c r="F845" s="18">
        <v>45215</v>
      </c>
      <c r="G845">
        <v>38</v>
      </c>
      <c r="H845">
        <v>3.7</v>
      </c>
      <c r="I845">
        <f>IF(MONTH(calls[[#This Row],[Date of Call]])&lt;=6, YEAR(calls[[#This Row],[Date of Call]]), YEAR(calls[[#This Row],[Date of Call]])+1)</f>
        <v>2024</v>
      </c>
      <c r="J845" t="str">
        <f>TEXT(calls[[#This Row],[Date of Call]],"DDDD")</f>
        <v>Monday</v>
      </c>
      <c r="K845" t="str" cm="1">
        <f t="array" ref="K84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45">
        <f>ROUND(calls[[#This Row],[Satisfaction Rating]],0)</f>
        <v>4</v>
      </c>
    </row>
    <row r="846" spans="2:12">
      <c r="B846" t="s">
        <v>868</v>
      </c>
      <c r="C846" t="s">
        <v>23</v>
      </c>
      <c r="D846">
        <v>87</v>
      </c>
      <c r="E846" s="17" t="s">
        <v>13</v>
      </c>
      <c r="F846" s="18">
        <v>45215</v>
      </c>
      <c r="G846">
        <v>27</v>
      </c>
      <c r="H846">
        <v>4.2</v>
      </c>
      <c r="I846">
        <f>IF(MONTH(calls[[#This Row],[Date of Call]])&lt;=6, YEAR(calls[[#This Row],[Date of Call]]), YEAR(calls[[#This Row],[Date of Call]])+1)</f>
        <v>2024</v>
      </c>
      <c r="J846" t="str">
        <f>TEXT(calls[[#This Row],[Date of Call]],"DDDD")</f>
        <v>Monday</v>
      </c>
      <c r="K846" t="str" cm="1">
        <f t="array" ref="K8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6">
        <f>ROUND(calls[[#This Row],[Satisfaction Rating]],0)</f>
        <v>4</v>
      </c>
    </row>
    <row r="847" spans="2:12">
      <c r="B847" t="s">
        <v>869</v>
      </c>
      <c r="C847" t="s">
        <v>15</v>
      </c>
      <c r="D847">
        <v>137</v>
      </c>
      <c r="E847" s="17" t="s">
        <v>10</v>
      </c>
      <c r="F847" s="18">
        <v>45216</v>
      </c>
      <c r="G847">
        <v>45</v>
      </c>
      <c r="H847">
        <v>4.4000000000000004</v>
      </c>
      <c r="I847">
        <f>IF(MONTH(calls[[#This Row],[Date of Call]])&lt;=6, YEAR(calls[[#This Row],[Date of Call]]), YEAR(calls[[#This Row],[Date of Call]])+1)</f>
        <v>2024</v>
      </c>
      <c r="J847" t="str">
        <f>TEXT(calls[[#This Row],[Date of Call]],"DDDD")</f>
        <v>Tuesday</v>
      </c>
      <c r="K847" t="str" cm="1">
        <f t="array" ref="K8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47">
        <f>ROUND(calls[[#This Row],[Satisfaction Rating]],0)</f>
        <v>4</v>
      </c>
    </row>
    <row r="848" spans="2:12">
      <c r="B848" t="s">
        <v>870</v>
      </c>
      <c r="C848" t="s">
        <v>14</v>
      </c>
      <c r="D848">
        <v>96</v>
      </c>
      <c r="E848" s="17" t="s">
        <v>6</v>
      </c>
      <c r="F848" s="18">
        <v>45216</v>
      </c>
      <c r="G848">
        <v>215</v>
      </c>
      <c r="H848">
        <v>4</v>
      </c>
      <c r="I848">
        <f>IF(MONTH(calls[[#This Row],[Date of Call]])&lt;=6, YEAR(calls[[#This Row],[Date of Call]]), YEAR(calls[[#This Row],[Date of Call]])+1)</f>
        <v>2024</v>
      </c>
      <c r="J848" t="str">
        <f>TEXT(calls[[#This Row],[Date of Call]],"DDDD")</f>
        <v>Tuesday</v>
      </c>
      <c r="K848" t="str" cm="1">
        <f t="array" ref="K8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8">
        <f>ROUND(calls[[#This Row],[Satisfaction Rating]],0)</f>
        <v>4</v>
      </c>
    </row>
    <row r="849" spans="2:12">
      <c r="B849" t="s">
        <v>871</v>
      </c>
      <c r="C849" t="s">
        <v>18</v>
      </c>
      <c r="D849">
        <v>155</v>
      </c>
      <c r="E849" s="17" t="s">
        <v>6</v>
      </c>
      <c r="F849" s="18">
        <v>45217</v>
      </c>
      <c r="G849">
        <v>72</v>
      </c>
      <c r="H849">
        <v>4.7</v>
      </c>
      <c r="I849">
        <f>IF(MONTH(calls[[#This Row],[Date of Call]])&lt;=6, YEAR(calls[[#This Row],[Date of Call]]), YEAR(calls[[#This Row],[Date of Call]])+1)</f>
        <v>2024</v>
      </c>
      <c r="J849" t="str">
        <f>TEXT(calls[[#This Row],[Date of Call]],"DDDD")</f>
        <v>Wednesday</v>
      </c>
      <c r="K849" t="str" cm="1">
        <f t="array" ref="K8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49">
        <f>ROUND(calls[[#This Row],[Satisfaction Rating]],0)</f>
        <v>5</v>
      </c>
    </row>
    <row r="850" spans="2:12">
      <c r="B850" t="s">
        <v>872</v>
      </c>
      <c r="C850" t="s">
        <v>21</v>
      </c>
      <c r="D850">
        <v>173</v>
      </c>
      <c r="E850" s="17" t="s">
        <v>11</v>
      </c>
      <c r="F850" s="18">
        <v>45217</v>
      </c>
      <c r="G850">
        <v>160</v>
      </c>
      <c r="H850">
        <v>2.8</v>
      </c>
      <c r="I850">
        <f>IF(MONTH(calls[[#This Row],[Date of Call]])&lt;=6, YEAR(calls[[#This Row],[Date of Call]]), YEAR(calls[[#This Row],[Date of Call]])+1)</f>
        <v>2024</v>
      </c>
      <c r="J850" t="str">
        <f>TEXT(calls[[#This Row],[Date of Call]],"DDDD")</f>
        <v>Wednesday</v>
      </c>
      <c r="K850" t="str" cm="1">
        <f t="array" ref="K8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0">
        <f>ROUND(calls[[#This Row],[Satisfaction Rating]],0)</f>
        <v>3</v>
      </c>
    </row>
    <row r="851" spans="2:12">
      <c r="B851" t="s">
        <v>873</v>
      </c>
      <c r="C851" t="s">
        <v>18</v>
      </c>
      <c r="D851">
        <v>127</v>
      </c>
      <c r="E851" s="17" t="s">
        <v>6</v>
      </c>
      <c r="F851" s="18">
        <v>45217</v>
      </c>
      <c r="G851">
        <v>165</v>
      </c>
      <c r="H851">
        <v>2.5</v>
      </c>
      <c r="I851">
        <f>IF(MONTH(calls[[#This Row],[Date of Call]])&lt;=6, YEAR(calls[[#This Row],[Date of Call]]), YEAR(calls[[#This Row],[Date of Call]])+1)</f>
        <v>2024</v>
      </c>
      <c r="J851" t="str">
        <f>TEXT(calls[[#This Row],[Date of Call]],"DDDD")</f>
        <v>Wednesday</v>
      </c>
      <c r="K851" t="str" cm="1">
        <f t="array" ref="K85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1">
        <f>ROUND(calls[[#This Row],[Satisfaction Rating]],0)</f>
        <v>3</v>
      </c>
    </row>
    <row r="852" spans="2:12">
      <c r="B852" t="s">
        <v>874</v>
      </c>
      <c r="C852" t="s">
        <v>12</v>
      </c>
      <c r="D852">
        <v>117</v>
      </c>
      <c r="E852" s="17" t="s">
        <v>11</v>
      </c>
      <c r="F852" s="18">
        <v>45217</v>
      </c>
      <c r="G852">
        <v>120</v>
      </c>
      <c r="H852">
        <v>3.4</v>
      </c>
      <c r="I852">
        <f>IF(MONTH(calls[[#This Row],[Date of Call]])&lt;=6, YEAR(calls[[#This Row],[Date of Call]]), YEAR(calls[[#This Row],[Date of Call]])+1)</f>
        <v>2024</v>
      </c>
      <c r="J852" t="str">
        <f>TEXT(calls[[#This Row],[Date of Call]],"DDDD")</f>
        <v>Wednesday</v>
      </c>
      <c r="K852" t="str" cm="1">
        <f t="array" ref="K8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52">
        <f>ROUND(calls[[#This Row],[Satisfaction Rating]],0)</f>
        <v>3</v>
      </c>
    </row>
    <row r="853" spans="2:12">
      <c r="B853" t="s">
        <v>875</v>
      </c>
      <c r="C853" t="s">
        <v>20</v>
      </c>
      <c r="D853">
        <v>133</v>
      </c>
      <c r="E853" s="17" t="s">
        <v>9</v>
      </c>
      <c r="F853" s="18">
        <v>45217</v>
      </c>
      <c r="G853">
        <v>117</v>
      </c>
      <c r="H853">
        <v>4.8</v>
      </c>
      <c r="I853">
        <f>IF(MONTH(calls[[#This Row],[Date of Call]])&lt;=6, YEAR(calls[[#This Row],[Date of Call]]), YEAR(calls[[#This Row],[Date of Call]])+1)</f>
        <v>2024</v>
      </c>
      <c r="J853" t="str">
        <f>TEXT(calls[[#This Row],[Date of Call]],"DDDD")</f>
        <v>Wednesday</v>
      </c>
      <c r="K853" t="str" cm="1">
        <f t="array" ref="K8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3">
        <f>ROUND(calls[[#This Row],[Satisfaction Rating]],0)</f>
        <v>5</v>
      </c>
    </row>
    <row r="854" spans="2:12">
      <c r="B854" t="s">
        <v>876</v>
      </c>
      <c r="C854" t="s">
        <v>24</v>
      </c>
      <c r="D854">
        <v>166</v>
      </c>
      <c r="E854" s="17" t="s">
        <v>13</v>
      </c>
      <c r="F854" s="18">
        <v>45218</v>
      </c>
      <c r="G854">
        <v>29</v>
      </c>
      <c r="H854">
        <v>4.3</v>
      </c>
      <c r="I854">
        <f>IF(MONTH(calls[[#This Row],[Date of Call]])&lt;=6, YEAR(calls[[#This Row],[Date of Call]]), YEAR(calls[[#This Row],[Date of Call]])+1)</f>
        <v>2024</v>
      </c>
      <c r="J854" t="str">
        <f>TEXT(calls[[#This Row],[Date of Call]],"DDDD")</f>
        <v>Thursday</v>
      </c>
      <c r="K854" t="str" cm="1">
        <f t="array" ref="K8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4">
        <f>ROUND(calls[[#This Row],[Satisfaction Rating]],0)</f>
        <v>4</v>
      </c>
    </row>
    <row r="855" spans="2:12">
      <c r="B855" t="s">
        <v>877</v>
      </c>
      <c r="C855" t="s">
        <v>20</v>
      </c>
      <c r="D855">
        <v>50</v>
      </c>
      <c r="E855" s="17" t="s">
        <v>11</v>
      </c>
      <c r="F855" s="18">
        <v>45218</v>
      </c>
      <c r="G855">
        <v>64</v>
      </c>
      <c r="H855">
        <v>4.5</v>
      </c>
      <c r="I855">
        <f>IF(MONTH(calls[[#This Row],[Date of Call]])&lt;=6, YEAR(calls[[#This Row],[Date of Call]]), YEAR(calls[[#This Row],[Date of Call]])+1)</f>
        <v>2024</v>
      </c>
      <c r="J855" t="str">
        <f>TEXT(calls[[#This Row],[Date of Call]],"DDDD")</f>
        <v>Thursday</v>
      </c>
      <c r="K855" t="str" cm="1">
        <f t="array" ref="K85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55">
        <f>ROUND(calls[[#This Row],[Satisfaction Rating]],0)</f>
        <v>5</v>
      </c>
    </row>
    <row r="856" spans="2:12">
      <c r="B856" t="s">
        <v>878</v>
      </c>
      <c r="C856" t="s">
        <v>19</v>
      </c>
      <c r="D856">
        <v>43</v>
      </c>
      <c r="E856" s="17" t="s">
        <v>9</v>
      </c>
      <c r="F856" s="18">
        <v>45218</v>
      </c>
      <c r="G856">
        <v>84</v>
      </c>
      <c r="H856">
        <v>3.6</v>
      </c>
      <c r="I856">
        <f>IF(MONTH(calls[[#This Row],[Date of Call]])&lt;=6, YEAR(calls[[#This Row],[Date of Call]]), YEAR(calls[[#This Row],[Date of Call]])+1)</f>
        <v>2024</v>
      </c>
      <c r="J856" t="str">
        <f>TEXT(calls[[#This Row],[Date of Call]],"DDDD")</f>
        <v>Thursday</v>
      </c>
      <c r="K856" t="str" cm="1">
        <f t="array" ref="K85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56">
        <f>ROUND(calls[[#This Row],[Satisfaction Rating]],0)</f>
        <v>4</v>
      </c>
    </row>
    <row r="857" spans="2:12">
      <c r="B857" t="s">
        <v>879</v>
      </c>
      <c r="C857" t="s">
        <v>14</v>
      </c>
      <c r="D857">
        <v>124</v>
      </c>
      <c r="E857" s="17" t="s">
        <v>6</v>
      </c>
      <c r="F857" s="18">
        <v>45218</v>
      </c>
      <c r="G857">
        <v>42</v>
      </c>
      <c r="H857">
        <v>3.7</v>
      </c>
      <c r="I857">
        <f>IF(MONTH(calls[[#This Row],[Date of Call]])&lt;=6, YEAR(calls[[#This Row],[Date of Call]]), YEAR(calls[[#This Row],[Date of Call]])+1)</f>
        <v>2024</v>
      </c>
      <c r="J857" t="str">
        <f>TEXT(calls[[#This Row],[Date of Call]],"DDDD")</f>
        <v>Thursday</v>
      </c>
      <c r="K857" t="str" cm="1">
        <f t="array" ref="K8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7">
        <f>ROUND(calls[[#This Row],[Satisfaction Rating]],0)</f>
        <v>4</v>
      </c>
    </row>
    <row r="858" spans="2:12">
      <c r="B858" t="s">
        <v>880</v>
      </c>
      <c r="C858" t="s">
        <v>21</v>
      </c>
      <c r="D858">
        <v>94</v>
      </c>
      <c r="E858" s="17" t="s">
        <v>6</v>
      </c>
      <c r="F858" s="18">
        <v>45218</v>
      </c>
      <c r="G858">
        <v>120</v>
      </c>
      <c r="H858">
        <v>3.5</v>
      </c>
      <c r="I858">
        <f>IF(MONTH(calls[[#This Row],[Date of Call]])&lt;=6, YEAR(calls[[#This Row],[Date of Call]]), YEAR(calls[[#This Row],[Date of Call]])+1)</f>
        <v>2024</v>
      </c>
      <c r="J858" t="str">
        <f>TEXT(calls[[#This Row],[Date of Call]],"DDDD")</f>
        <v>Thursday</v>
      </c>
      <c r="K858" t="str" cm="1">
        <f t="array" ref="K8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58">
        <f>ROUND(calls[[#This Row],[Satisfaction Rating]],0)</f>
        <v>4</v>
      </c>
    </row>
    <row r="859" spans="2:12">
      <c r="B859" t="s">
        <v>881</v>
      </c>
      <c r="C859" t="s">
        <v>19</v>
      </c>
      <c r="D859">
        <v>126</v>
      </c>
      <c r="E859" s="17" t="s">
        <v>13</v>
      </c>
      <c r="F859" s="18">
        <v>45219</v>
      </c>
      <c r="G859">
        <v>80</v>
      </c>
      <c r="H859">
        <v>4.7</v>
      </c>
      <c r="I859">
        <f>IF(MONTH(calls[[#This Row],[Date of Call]])&lt;=6, YEAR(calls[[#This Row],[Date of Call]]), YEAR(calls[[#This Row],[Date of Call]])+1)</f>
        <v>2024</v>
      </c>
      <c r="J859" t="str">
        <f>TEXT(calls[[#This Row],[Date of Call]],"DDDD")</f>
        <v>Friday</v>
      </c>
      <c r="K859" t="str" cm="1">
        <f t="array" ref="K85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9">
        <f>ROUND(calls[[#This Row],[Satisfaction Rating]],0)</f>
        <v>5</v>
      </c>
    </row>
    <row r="860" spans="2:12">
      <c r="B860" t="s">
        <v>882</v>
      </c>
      <c r="C860" t="s">
        <v>24</v>
      </c>
      <c r="D860">
        <v>105</v>
      </c>
      <c r="E860" s="17" t="s">
        <v>11</v>
      </c>
      <c r="F860" s="18">
        <v>45219</v>
      </c>
      <c r="G860">
        <v>185</v>
      </c>
      <c r="H860">
        <v>3.5</v>
      </c>
      <c r="I860">
        <f>IF(MONTH(calls[[#This Row],[Date of Call]])&lt;=6, YEAR(calls[[#This Row],[Date of Call]]), YEAR(calls[[#This Row],[Date of Call]])+1)</f>
        <v>2024</v>
      </c>
      <c r="J860" t="str">
        <f>TEXT(calls[[#This Row],[Date of Call]],"DDDD")</f>
        <v>Friday</v>
      </c>
      <c r="K860" t="str" cm="1">
        <f t="array" ref="K8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0">
        <f>ROUND(calls[[#This Row],[Satisfaction Rating]],0)</f>
        <v>4</v>
      </c>
    </row>
    <row r="861" spans="2:12">
      <c r="B861" t="s">
        <v>883</v>
      </c>
      <c r="C861" t="s">
        <v>8</v>
      </c>
      <c r="D861">
        <v>60</v>
      </c>
      <c r="E861" s="17" t="s">
        <v>10</v>
      </c>
      <c r="F861" s="18">
        <v>45220</v>
      </c>
      <c r="G861">
        <v>135</v>
      </c>
      <c r="H861">
        <v>3.9</v>
      </c>
      <c r="I861">
        <f>IF(MONTH(calls[[#This Row],[Date of Call]])&lt;=6, YEAR(calls[[#This Row],[Date of Call]]), YEAR(calls[[#This Row],[Date of Call]])+1)</f>
        <v>2024</v>
      </c>
      <c r="J861" t="str">
        <f>TEXT(calls[[#This Row],[Date of Call]],"DDDD")</f>
        <v>Saturday</v>
      </c>
      <c r="K861" t="str" cm="1">
        <f t="array" ref="K86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1">
        <f>ROUND(calls[[#This Row],[Satisfaction Rating]],0)</f>
        <v>4</v>
      </c>
    </row>
    <row r="862" spans="2:12">
      <c r="B862" t="s">
        <v>884</v>
      </c>
      <c r="C862" t="s">
        <v>8</v>
      </c>
      <c r="D862">
        <v>72</v>
      </c>
      <c r="E862" s="17" t="s">
        <v>11</v>
      </c>
      <c r="F862" s="18">
        <v>45220</v>
      </c>
      <c r="G862">
        <v>20</v>
      </c>
      <c r="H862">
        <v>4.8</v>
      </c>
      <c r="I862">
        <f>IF(MONTH(calls[[#This Row],[Date of Call]])&lt;=6, YEAR(calls[[#This Row],[Date of Call]]), YEAR(calls[[#This Row],[Date of Call]])+1)</f>
        <v>2024</v>
      </c>
      <c r="J862" t="str">
        <f>TEXT(calls[[#This Row],[Date of Call]],"DDDD")</f>
        <v>Saturday</v>
      </c>
      <c r="K862" t="str" cm="1">
        <f t="array" ref="K8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2">
        <f>ROUND(calls[[#This Row],[Satisfaction Rating]],0)</f>
        <v>5</v>
      </c>
    </row>
    <row r="863" spans="2:12">
      <c r="B863" t="s">
        <v>885</v>
      </c>
      <c r="C863" t="s">
        <v>16</v>
      </c>
      <c r="D863">
        <v>40</v>
      </c>
      <c r="E863" s="17" t="s">
        <v>11</v>
      </c>
      <c r="F863" s="18">
        <v>45220</v>
      </c>
      <c r="G863">
        <v>31</v>
      </c>
      <c r="H863">
        <v>4</v>
      </c>
      <c r="I863">
        <f>IF(MONTH(calls[[#This Row],[Date of Call]])&lt;=6, YEAR(calls[[#This Row],[Date of Call]]), YEAR(calls[[#This Row],[Date of Call]])+1)</f>
        <v>2024</v>
      </c>
      <c r="J863" t="str">
        <f>TEXT(calls[[#This Row],[Date of Call]],"DDDD")</f>
        <v>Saturday</v>
      </c>
      <c r="K863" t="str" cm="1">
        <f t="array" ref="K86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3">
        <f>ROUND(calls[[#This Row],[Satisfaction Rating]],0)</f>
        <v>4</v>
      </c>
    </row>
    <row r="864" spans="2:12">
      <c r="B864" t="s">
        <v>886</v>
      </c>
      <c r="C864" t="s">
        <v>5</v>
      </c>
      <c r="D864">
        <v>54</v>
      </c>
      <c r="E864" s="17" t="s">
        <v>13</v>
      </c>
      <c r="F864" s="18">
        <v>45221</v>
      </c>
      <c r="G864">
        <v>120</v>
      </c>
      <c r="H864">
        <v>4.7</v>
      </c>
      <c r="I864">
        <f>IF(MONTH(calls[[#This Row],[Date of Call]])&lt;=6, YEAR(calls[[#This Row],[Date of Call]]), YEAR(calls[[#This Row],[Date of Call]])+1)</f>
        <v>2024</v>
      </c>
      <c r="J864" t="str">
        <f>TEXT(calls[[#This Row],[Date of Call]],"DDDD")</f>
        <v>Sunday</v>
      </c>
      <c r="K864" t="str" cm="1">
        <f t="array" ref="K86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4">
        <f>ROUND(calls[[#This Row],[Satisfaction Rating]],0)</f>
        <v>5</v>
      </c>
    </row>
    <row r="865" spans="2:12">
      <c r="B865" t="s">
        <v>887</v>
      </c>
      <c r="C865" t="s">
        <v>12</v>
      </c>
      <c r="D865">
        <v>81</v>
      </c>
      <c r="E865" s="17" t="s">
        <v>9</v>
      </c>
      <c r="F865" s="18">
        <v>45221</v>
      </c>
      <c r="G865">
        <v>117</v>
      </c>
      <c r="H865">
        <v>3.6</v>
      </c>
      <c r="I865">
        <f>IF(MONTH(calls[[#This Row],[Date of Call]])&lt;=6, YEAR(calls[[#This Row],[Date of Call]]), YEAR(calls[[#This Row],[Date of Call]])+1)</f>
        <v>2024</v>
      </c>
      <c r="J865" t="str">
        <f>TEXT(calls[[#This Row],[Date of Call]],"DDDD")</f>
        <v>Sunday</v>
      </c>
      <c r="K865" t="str" cm="1">
        <f t="array" ref="K86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5">
        <f>ROUND(calls[[#This Row],[Satisfaction Rating]],0)</f>
        <v>4</v>
      </c>
    </row>
    <row r="866" spans="2:12">
      <c r="B866" t="s">
        <v>888</v>
      </c>
      <c r="C866" t="s">
        <v>5</v>
      </c>
      <c r="D866">
        <v>76</v>
      </c>
      <c r="E866" s="17" t="s">
        <v>6</v>
      </c>
      <c r="F866" s="18">
        <v>45221</v>
      </c>
      <c r="G866">
        <v>80</v>
      </c>
      <c r="H866">
        <v>4.5</v>
      </c>
      <c r="I866">
        <f>IF(MONTH(calls[[#This Row],[Date of Call]])&lt;=6, YEAR(calls[[#This Row],[Date of Call]]), YEAR(calls[[#This Row],[Date of Call]])+1)</f>
        <v>2024</v>
      </c>
      <c r="J866" t="str">
        <f>TEXT(calls[[#This Row],[Date of Call]],"DDDD")</f>
        <v>Sunday</v>
      </c>
      <c r="K866" t="str" cm="1">
        <f t="array" ref="K8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6">
        <f>ROUND(calls[[#This Row],[Satisfaction Rating]],0)</f>
        <v>5</v>
      </c>
    </row>
    <row r="867" spans="2:12">
      <c r="B867" t="s">
        <v>889</v>
      </c>
      <c r="C867" t="s">
        <v>5</v>
      </c>
      <c r="D867">
        <v>37</v>
      </c>
      <c r="E867" s="17" t="s">
        <v>10</v>
      </c>
      <c r="F867" s="18">
        <v>45222</v>
      </c>
      <c r="G867">
        <v>117</v>
      </c>
      <c r="H867">
        <v>4</v>
      </c>
      <c r="I867">
        <f>IF(MONTH(calls[[#This Row],[Date of Call]])&lt;=6, YEAR(calls[[#This Row],[Date of Call]]), YEAR(calls[[#This Row],[Date of Call]])+1)</f>
        <v>2024</v>
      </c>
      <c r="J867" t="str">
        <f>TEXT(calls[[#This Row],[Date of Call]],"DDDD")</f>
        <v>Monday</v>
      </c>
      <c r="K867" t="str" cm="1">
        <f t="array" ref="K86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7">
        <f>ROUND(calls[[#This Row],[Satisfaction Rating]],0)</f>
        <v>4</v>
      </c>
    </row>
    <row r="868" spans="2:12">
      <c r="B868" t="s">
        <v>890</v>
      </c>
      <c r="C868" t="s">
        <v>24</v>
      </c>
      <c r="D868">
        <v>96</v>
      </c>
      <c r="E868" s="17" t="s">
        <v>13</v>
      </c>
      <c r="F868" s="18">
        <v>45222</v>
      </c>
      <c r="G868">
        <v>60</v>
      </c>
      <c r="H868">
        <v>4.5</v>
      </c>
      <c r="I868">
        <f>IF(MONTH(calls[[#This Row],[Date of Call]])&lt;=6, YEAR(calls[[#This Row],[Date of Call]]), YEAR(calls[[#This Row],[Date of Call]])+1)</f>
        <v>2024</v>
      </c>
      <c r="J868" t="str">
        <f>TEXT(calls[[#This Row],[Date of Call]],"DDDD")</f>
        <v>Monday</v>
      </c>
      <c r="K868" t="str" cm="1">
        <f t="array" ref="K86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8">
        <f>ROUND(calls[[#This Row],[Satisfaction Rating]],0)</f>
        <v>5</v>
      </c>
    </row>
    <row r="869" spans="2:12">
      <c r="B869" t="s">
        <v>891</v>
      </c>
      <c r="C869" t="s">
        <v>8</v>
      </c>
      <c r="D869">
        <v>19</v>
      </c>
      <c r="E869" s="17" t="s">
        <v>6</v>
      </c>
      <c r="F869" s="18">
        <v>45223</v>
      </c>
      <c r="G869">
        <v>58</v>
      </c>
      <c r="H869">
        <v>3.9</v>
      </c>
      <c r="I869">
        <f>IF(MONTH(calls[[#This Row],[Date of Call]])&lt;=6, YEAR(calls[[#This Row],[Date of Call]]), YEAR(calls[[#This Row],[Date of Call]])+1)</f>
        <v>2024</v>
      </c>
      <c r="J869" t="str">
        <f>TEXT(calls[[#This Row],[Date of Call]],"DDDD")</f>
        <v>Tuesday</v>
      </c>
      <c r="K869" t="str" cm="1">
        <f t="array" ref="K86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69">
        <f>ROUND(calls[[#This Row],[Satisfaction Rating]],0)</f>
        <v>4</v>
      </c>
    </row>
    <row r="870" spans="2:12">
      <c r="B870" t="s">
        <v>892</v>
      </c>
      <c r="C870" t="s">
        <v>16</v>
      </c>
      <c r="D870">
        <v>72</v>
      </c>
      <c r="E870" s="17" t="s">
        <v>10</v>
      </c>
      <c r="F870" s="18">
        <v>45223</v>
      </c>
      <c r="G870">
        <v>41</v>
      </c>
      <c r="H870">
        <v>4.3</v>
      </c>
      <c r="I870">
        <f>IF(MONTH(calls[[#This Row],[Date of Call]])&lt;=6, YEAR(calls[[#This Row],[Date of Call]]), YEAR(calls[[#This Row],[Date of Call]])+1)</f>
        <v>2024</v>
      </c>
      <c r="J870" t="str">
        <f>TEXT(calls[[#This Row],[Date of Call]],"DDDD")</f>
        <v>Tuesday</v>
      </c>
      <c r="K870" t="str" cm="1">
        <f t="array" ref="K8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0">
        <f>ROUND(calls[[#This Row],[Satisfaction Rating]],0)</f>
        <v>4</v>
      </c>
    </row>
    <row r="871" spans="2:12">
      <c r="B871" t="s">
        <v>893</v>
      </c>
      <c r="C871" t="s">
        <v>21</v>
      </c>
      <c r="D871">
        <v>73</v>
      </c>
      <c r="E871" s="17" t="s">
        <v>9</v>
      </c>
      <c r="F871" s="18">
        <v>45223</v>
      </c>
      <c r="G871">
        <v>180</v>
      </c>
      <c r="H871">
        <v>3.6</v>
      </c>
      <c r="I871">
        <f>IF(MONTH(calls[[#This Row],[Date of Call]])&lt;=6, YEAR(calls[[#This Row],[Date of Call]]), YEAR(calls[[#This Row],[Date of Call]])+1)</f>
        <v>2024</v>
      </c>
      <c r="J871" t="str">
        <f>TEXT(calls[[#This Row],[Date of Call]],"DDDD")</f>
        <v>Tuesday</v>
      </c>
      <c r="K871" t="str" cm="1">
        <f t="array" ref="K8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1">
        <f>ROUND(calls[[#This Row],[Satisfaction Rating]],0)</f>
        <v>4</v>
      </c>
    </row>
    <row r="872" spans="2:12">
      <c r="B872" t="s">
        <v>894</v>
      </c>
      <c r="C872" t="s">
        <v>17</v>
      </c>
      <c r="D872">
        <v>87</v>
      </c>
      <c r="E872" s="17" t="s">
        <v>9</v>
      </c>
      <c r="F872" s="18">
        <v>45223</v>
      </c>
      <c r="G872">
        <v>42</v>
      </c>
      <c r="H872">
        <v>3.6</v>
      </c>
      <c r="I872">
        <f>IF(MONTH(calls[[#This Row],[Date of Call]])&lt;=6, YEAR(calls[[#This Row],[Date of Call]]), YEAR(calls[[#This Row],[Date of Call]])+1)</f>
        <v>2024</v>
      </c>
      <c r="J872" t="str">
        <f>TEXT(calls[[#This Row],[Date of Call]],"DDDD")</f>
        <v>Tuesday</v>
      </c>
      <c r="K872" t="str" cm="1">
        <f t="array" ref="K8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2">
        <f>ROUND(calls[[#This Row],[Satisfaction Rating]],0)</f>
        <v>4</v>
      </c>
    </row>
    <row r="873" spans="2:12">
      <c r="B873" t="s">
        <v>895</v>
      </c>
      <c r="C873" t="s">
        <v>17</v>
      </c>
      <c r="D873">
        <v>68</v>
      </c>
      <c r="E873" s="17" t="s">
        <v>9</v>
      </c>
      <c r="F873" s="18">
        <v>45224</v>
      </c>
      <c r="G873">
        <v>24</v>
      </c>
      <c r="H873">
        <v>4</v>
      </c>
      <c r="I873">
        <f>IF(MONTH(calls[[#This Row],[Date of Call]])&lt;=6, YEAR(calls[[#This Row],[Date of Call]]), YEAR(calls[[#This Row],[Date of Call]])+1)</f>
        <v>2024</v>
      </c>
      <c r="J873" t="str">
        <f>TEXT(calls[[#This Row],[Date of Call]],"DDDD")</f>
        <v>Wednesday</v>
      </c>
      <c r="K873" t="str" cm="1">
        <f t="array" ref="K8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3">
        <f>ROUND(calls[[#This Row],[Satisfaction Rating]],0)</f>
        <v>4</v>
      </c>
    </row>
    <row r="874" spans="2:12">
      <c r="B874" t="s">
        <v>896</v>
      </c>
      <c r="C874" t="s">
        <v>16</v>
      </c>
      <c r="D874">
        <v>101</v>
      </c>
      <c r="E874" s="17" t="s">
        <v>9</v>
      </c>
      <c r="F874" s="18">
        <v>45224</v>
      </c>
      <c r="G874">
        <v>125</v>
      </c>
      <c r="H874">
        <v>4.2</v>
      </c>
      <c r="I874">
        <f>IF(MONTH(calls[[#This Row],[Date of Call]])&lt;=6, YEAR(calls[[#This Row],[Date of Call]]), YEAR(calls[[#This Row],[Date of Call]])+1)</f>
        <v>2024</v>
      </c>
      <c r="J874" t="str">
        <f>TEXT(calls[[#This Row],[Date of Call]],"DDDD")</f>
        <v>Wednesday</v>
      </c>
      <c r="K874" t="str" cm="1">
        <f t="array" ref="K8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4">
        <f>ROUND(calls[[#This Row],[Satisfaction Rating]],0)</f>
        <v>4</v>
      </c>
    </row>
    <row r="875" spans="2:12">
      <c r="B875" t="s">
        <v>897</v>
      </c>
      <c r="C875" t="s">
        <v>16</v>
      </c>
      <c r="D875">
        <v>107</v>
      </c>
      <c r="E875" s="17" t="s">
        <v>10</v>
      </c>
      <c r="F875" s="18">
        <v>45225</v>
      </c>
      <c r="G875">
        <v>78</v>
      </c>
      <c r="H875">
        <v>4.3</v>
      </c>
      <c r="I875">
        <f>IF(MONTH(calls[[#This Row],[Date of Call]])&lt;=6, YEAR(calls[[#This Row],[Date of Call]]), YEAR(calls[[#This Row],[Date of Call]])+1)</f>
        <v>2024</v>
      </c>
      <c r="J875" t="str">
        <f>TEXT(calls[[#This Row],[Date of Call]],"DDDD")</f>
        <v>Thursday</v>
      </c>
      <c r="K875" t="str" cm="1">
        <f t="array" ref="K8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5">
        <f>ROUND(calls[[#This Row],[Satisfaction Rating]],0)</f>
        <v>4</v>
      </c>
    </row>
    <row r="876" spans="2:12">
      <c r="B876" t="s">
        <v>898</v>
      </c>
      <c r="C876" t="s">
        <v>22</v>
      </c>
      <c r="D876">
        <v>109</v>
      </c>
      <c r="E876" s="17" t="s">
        <v>11</v>
      </c>
      <c r="F876" s="18">
        <v>45225</v>
      </c>
      <c r="G876">
        <v>180</v>
      </c>
      <c r="H876">
        <v>3.8</v>
      </c>
      <c r="I876">
        <f>IF(MONTH(calls[[#This Row],[Date of Call]])&lt;=6, YEAR(calls[[#This Row],[Date of Call]]), YEAR(calls[[#This Row],[Date of Call]])+1)</f>
        <v>2024</v>
      </c>
      <c r="J876" t="str">
        <f>TEXT(calls[[#This Row],[Date of Call]],"DDDD")</f>
        <v>Thursday</v>
      </c>
      <c r="K876" t="str" cm="1">
        <f t="array" ref="K8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6">
        <f>ROUND(calls[[#This Row],[Satisfaction Rating]],0)</f>
        <v>4</v>
      </c>
    </row>
    <row r="877" spans="2:12">
      <c r="B877" t="s">
        <v>899</v>
      </c>
      <c r="C877" t="s">
        <v>14</v>
      </c>
      <c r="D877">
        <v>171</v>
      </c>
      <c r="E877" s="17" t="s">
        <v>10</v>
      </c>
      <c r="F877" s="18">
        <v>45225</v>
      </c>
      <c r="G877">
        <v>84</v>
      </c>
      <c r="H877">
        <v>4.4000000000000004</v>
      </c>
      <c r="I877">
        <f>IF(MONTH(calls[[#This Row],[Date of Call]])&lt;=6, YEAR(calls[[#This Row],[Date of Call]]), YEAR(calls[[#This Row],[Date of Call]])+1)</f>
        <v>2024</v>
      </c>
      <c r="J877" t="str">
        <f>TEXT(calls[[#This Row],[Date of Call]],"DDDD")</f>
        <v>Thursday</v>
      </c>
      <c r="K877" t="str" cm="1">
        <f t="array" ref="K8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77">
        <f>ROUND(calls[[#This Row],[Satisfaction Rating]],0)</f>
        <v>4</v>
      </c>
    </row>
    <row r="878" spans="2:12">
      <c r="B878" t="s">
        <v>900</v>
      </c>
      <c r="C878" t="s">
        <v>8</v>
      </c>
      <c r="D878">
        <v>21</v>
      </c>
      <c r="E878" s="17" t="s">
        <v>10</v>
      </c>
      <c r="F878" s="18">
        <v>45225</v>
      </c>
      <c r="G878">
        <v>26</v>
      </c>
      <c r="H878">
        <v>4.7</v>
      </c>
      <c r="I878">
        <f>IF(MONTH(calls[[#This Row],[Date of Call]])&lt;=6, YEAR(calls[[#This Row],[Date of Call]]), YEAR(calls[[#This Row],[Date of Call]])+1)</f>
        <v>2024</v>
      </c>
      <c r="J878" t="str">
        <f>TEXT(calls[[#This Row],[Date of Call]],"DDDD")</f>
        <v>Thursday</v>
      </c>
      <c r="K878" t="str" cm="1">
        <f t="array" ref="K87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78">
        <f>ROUND(calls[[#This Row],[Satisfaction Rating]],0)</f>
        <v>5</v>
      </c>
    </row>
    <row r="879" spans="2:12">
      <c r="B879" t="s">
        <v>901</v>
      </c>
      <c r="C879" t="s">
        <v>12</v>
      </c>
      <c r="D879">
        <v>94</v>
      </c>
      <c r="E879" s="17" t="s">
        <v>10</v>
      </c>
      <c r="F879" s="18">
        <v>45226</v>
      </c>
      <c r="G879">
        <v>140</v>
      </c>
      <c r="H879">
        <v>3.6</v>
      </c>
      <c r="I879">
        <f>IF(MONTH(calls[[#This Row],[Date of Call]])&lt;=6, YEAR(calls[[#This Row],[Date of Call]]), YEAR(calls[[#This Row],[Date of Call]])+1)</f>
        <v>2024</v>
      </c>
      <c r="J879" t="str">
        <f>TEXT(calls[[#This Row],[Date of Call]],"DDDD")</f>
        <v>Friday</v>
      </c>
      <c r="K879" t="str" cm="1">
        <f t="array" ref="K87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9">
        <f>ROUND(calls[[#This Row],[Satisfaction Rating]],0)</f>
        <v>4</v>
      </c>
    </row>
    <row r="880" spans="2:12">
      <c r="B880" t="s">
        <v>902</v>
      </c>
      <c r="C880" t="s">
        <v>21</v>
      </c>
      <c r="D880">
        <v>97</v>
      </c>
      <c r="E880" s="17" t="s">
        <v>11</v>
      </c>
      <c r="F880" s="18">
        <v>45226</v>
      </c>
      <c r="G880">
        <v>31</v>
      </c>
      <c r="H880">
        <v>2.2000000000000002</v>
      </c>
      <c r="I880">
        <f>IF(MONTH(calls[[#This Row],[Date of Call]])&lt;=6, YEAR(calls[[#This Row],[Date of Call]]), YEAR(calls[[#This Row],[Date of Call]])+1)</f>
        <v>2024</v>
      </c>
      <c r="J880" t="str">
        <f>TEXT(calls[[#This Row],[Date of Call]],"DDDD")</f>
        <v>Friday</v>
      </c>
      <c r="K880" t="str" cm="1">
        <f t="array" ref="K8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0">
        <f>ROUND(calls[[#This Row],[Satisfaction Rating]],0)</f>
        <v>2</v>
      </c>
    </row>
    <row r="881" spans="2:12">
      <c r="B881" t="s">
        <v>903</v>
      </c>
      <c r="C881" t="s">
        <v>24</v>
      </c>
      <c r="D881">
        <v>72</v>
      </c>
      <c r="E881" s="17" t="s">
        <v>11</v>
      </c>
      <c r="F881" s="18">
        <v>45226</v>
      </c>
      <c r="G881">
        <v>108</v>
      </c>
      <c r="H881">
        <v>4.8</v>
      </c>
      <c r="I881">
        <f>IF(MONTH(calls[[#This Row],[Date of Call]])&lt;=6, YEAR(calls[[#This Row],[Date of Call]]), YEAR(calls[[#This Row],[Date of Call]])+1)</f>
        <v>2024</v>
      </c>
      <c r="J881" t="str">
        <f>TEXT(calls[[#This Row],[Date of Call]],"DDDD")</f>
        <v>Friday</v>
      </c>
      <c r="K881" t="str" cm="1">
        <f t="array" ref="K8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1">
        <f>ROUND(calls[[#This Row],[Satisfaction Rating]],0)</f>
        <v>5</v>
      </c>
    </row>
    <row r="882" spans="2:12">
      <c r="B882" t="s">
        <v>904</v>
      </c>
      <c r="C882" t="s">
        <v>14</v>
      </c>
      <c r="D882">
        <v>143</v>
      </c>
      <c r="E882" s="17" t="s">
        <v>13</v>
      </c>
      <c r="F882" s="18">
        <v>45227</v>
      </c>
      <c r="G882">
        <v>58</v>
      </c>
      <c r="H882">
        <v>4.3</v>
      </c>
      <c r="I882">
        <f>IF(MONTH(calls[[#This Row],[Date of Call]])&lt;=6, YEAR(calls[[#This Row],[Date of Call]]), YEAR(calls[[#This Row],[Date of Call]])+1)</f>
        <v>2024</v>
      </c>
      <c r="J882" t="str">
        <f>TEXT(calls[[#This Row],[Date of Call]],"DDDD")</f>
        <v>Saturday</v>
      </c>
      <c r="K882" t="str" cm="1">
        <f t="array" ref="K88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82">
        <f>ROUND(calls[[#This Row],[Satisfaction Rating]],0)</f>
        <v>4</v>
      </c>
    </row>
    <row r="883" spans="2:12">
      <c r="B883" t="s">
        <v>905</v>
      </c>
      <c r="C883" t="s">
        <v>14</v>
      </c>
      <c r="D883">
        <v>64</v>
      </c>
      <c r="E883" s="17" t="s">
        <v>11</v>
      </c>
      <c r="F883" s="18">
        <v>45227</v>
      </c>
      <c r="G883">
        <v>185</v>
      </c>
      <c r="H883">
        <v>2.2000000000000002</v>
      </c>
      <c r="I883">
        <f>IF(MONTH(calls[[#This Row],[Date of Call]])&lt;=6, YEAR(calls[[#This Row],[Date of Call]]), YEAR(calls[[#This Row],[Date of Call]])+1)</f>
        <v>2024</v>
      </c>
      <c r="J883" t="str">
        <f>TEXT(calls[[#This Row],[Date of Call]],"DDDD")</f>
        <v>Saturday</v>
      </c>
      <c r="K883" t="str" cm="1">
        <f t="array" ref="K8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3">
        <f>ROUND(calls[[#This Row],[Satisfaction Rating]],0)</f>
        <v>2</v>
      </c>
    </row>
    <row r="884" spans="2:12">
      <c r="B884" t="s">
        <v>906</v>
      </c>
      <c r="C884" t="s">
        <v>14</v>
      </c>
      <c r="D884">
        <v>69</v>
      </c>
      <c r="E884" s="17" t="s">
        <v>11</v>
      </c>
      <c r="F884" s="18">
        <v>45227</v>
      </c>
      <c r="G884">
        <v>40</v>
      </c>
      <c r="H884">
        <v>4.8</v>
      </c>
      <c r="I884">
        <f>IF(MONTH(calls[[#This Row],[Date of Call]])&lt;=6, YEAR(calls[[#This Row],[Date of Call]]), YEAR(calls[[#This Row],[Date of Call]])+1)</f>
        <v>2024</v>
      </c>
      <c r="J884" t="str">
        <f>TEXT(calls[[#This Row],[Date of Call]],"DDDD")</f>
        <v>Saturday</v>
      </c>
      <c r="K884" t="str" cm="1">
        <f t="array" ref="K8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4">
        <f>ROUND(calls[[#This Row],[Satisfaction Rating]],0)</f>
        <v>5</v>
      </c>
    </row>
    <row r="885" spans="2:12">
      <c r="B885" t="s">
        <v>907</v>
      </c>
      <c r="C885" t="s">
        <v>14</v>
      </c>
      <c r="D885">
        <v>18</v>
      </c>
      <c r="E885" s="17" t="s">
        <v>6</v>
      </c>
      <c r="F885" s="18">
        <v>45227</v>
      </c>
      <c r="G885">
        <v>225</v>
      </c>
      <c r="H885">
        <v>2.6</v>
      </c>
      <c r="I885">
        <f>IF(MONTH(calls[[#This Row],[Date of Call]])&lt;=6, YEAR(calls[[#This Row],[Date of Call]]), YEAR(calls[[#This Row],[Date of Call]])+1)</f>
        <v>2024</v>
      </c>
      <c r="J885" t="str">
        <f>TEXT(calls[[#This Row],[Date of Call]],"DDDD")</f>
        <v>Saturday</v>
      </c>
      <c r="K885" t="str" cm="1">
        <f t="array" ref="K88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85">
        <f>ROUND(calls[[#This Row],[Satisfaction Rating]],0)</f>
        <v>3</v>
      </c>
    </row>
    <row r="886" spans="2:12">
      <c r="B886" t="s">
        <v>908</v>
      </c>
      <c r="C886" t="s">
        <v>21</v>
      </c>
      <c r="D886">
        <v>100</v>
      </c>
      <c r="E886" s="17" t="s">
        <v>13</v>
      </c>
      <c r="F886" s="18">
        <v>45227</v>
      </c>
      <c r="G886">
        <v>150</v>
      </c>
      <c r="H886">
        <v>2.6</v>
      </c>
      <c r="I886">
        <f>IF(MONTH(calls[[#This Row],[Date of Call]])&lt;=6, YEAR(calls[[#This Row],[Date of Call]]), YEAR(calls[[#This Row],[Date of Call]])+1)</f>
        <v>2024</v>
      </c>
      <c r="J886" t="str">
        <f>TEXT(calls[[#This Row],[Date of Call]],"DDDD")</f>
        <v>Saturday</v>
      </c>
      <c r="K886" t="str" cm="1">
        <f t="array" ref="K8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6">
        <f>ROUND(calls[[#This Row],[Satisfaction Rating]],0)</f>
        <v>3</v>
      </c>
    </row>
    <row r="887" spans="2:12">
      <c r="B887" t="s">
        <v>909</v>
      </c>
      <c r="C887" t="s">
        <v>18</v>
      </c>
      <c r="D887">
        <v>110</v>
      </c>
      <c r="E887" s="17" t="s">
        <v>9</v>
      </c>
      <c r="F887" s="18">
        <v>45228</v>
      </c>
      <c r="G887">
        <v>88</v>
      </c>
      <c r="H887">
        <v>3.4</v>
      </c>
      <c r="I887">
        <f>IF(MONTH(calls[[#This Row],[Date of Call]])&lt;=6, YEAR(calls[[#This Row],[Date of Call]]), YEAR(calls[[#This Row],[Date of Call]])+1)</f>
        <v>2024</v>
      </c>
      <c r="J887" t="str">
        <f>TEXT(calls[[#This Row],[Date of Call]],"DDDD")</f>
        <v>Sunday</v>
      </c>
      <c r="K887" t="str" cm="1">
        <f t="array" ref="K8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7">
        <f>ROUND(calls[[#This Row],[Satisfaction Rating]],0)</f>
        <v>3</v>
      </c>
    </row>
    <row r="888" spans="2:12">
      <c r="B888" t="s">
        <v>910</v>
      </c>
      <c r="C888" t="s">
        <v>7</v>
      </c>
      <c r="D888">
        <v>41</v>
      </c>
      <c r="E888" s="17" t="s">
        <v>10</v>
      </c>
      <c r="F888" s="18">
        <v>45228</v>
      </c>
      <c r="G888">
        <v>140</v>
      </c>
      <c r="H888">
        <v>3.7</v>
      </c>
      <c r="I888">
        <f>IF(MONTH(calls[[#This Row],[Date of Call]])&lt;=6, YEAR(calls[[#This Row],[Date of Call]]), YEAR(calls[[#This Row],[Date of Call]])+1)</f>
        <v>2024</v>
      </c>
      <c r="J888" t="str">
        <f>TEXT(calls[[#This Row],[Date of Call]],"DDDD")</f>
        <v>Sunday</v>
      </c>
      <c r="K888" t="str" cm="1">
        <f t="array" ref="K88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88">
        <f>ROUND(calls[[#This Row],[Satisfaction Rating]],0)</f>
        <v>4</v>
      </c>
    </row>
    <row r="889" spans="2:12">
      <c r="B889" t="s">
        <v>911</v>
      </c>
      <c r="C889" t="s">
        <v>18</v>
      </c>
      <c r="D889">
        <v>147</v>
      </c>
      <c r="E889" s="17" t="s">
        <v>9</v>
      </c>
      <c r="F889" s="18">
        <v>45228</v>
      </c>
      <c r="G889">
        <v>68</v>
      </c>
      <c r="H889">
        <v>2.1</v>
      </c>
      <c r="I889">
        <f>IF(MONTH(calls[[#This Row],[Date of Call]])&lt;=6, YEAR(calls[[#This Row],[Date of Call]]), YEAR(calls[[#This Row],[Date of Call]])+1)</f>
        <v>2024</v>
      </c>
      <c r="J889" t="str">
        <f>TEXT(calls[[#This Row],[Date of Call]],"DDDD")</f>
        <v>Sunday</v>
      </c>
      <c r="K889" t="str" cm="1">
        <f t="array" ref="K88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89">
        <f>ROUND(calls[[#This Row],[Satisfaction Rating]],0)</f>
        <v>2</v>
      </c>
    </row>
    <row r="890" spans="2:12">
      <c r="B890" t="s">
        <v>912</v>
      </c>
      <c r="C890" t="s">
        <v>12</v>
      </c>
      <c r="D890">
        <v>31</v>
      </c>
      <c r="E890" s="17" t="s">
        <v>6</v>
      </c>
      <c r="F890" s="18">
        <v>45229</v>
      </c>
      <c r="G890">
        <v>105</v>
      </c>
      <c r="H890">
        <v>3.6</v>
      </c>
      <c r="I890">
        <f>IF(MONTH(calls[[#This Row],[Date of Call]])&lt;=6, YEAR(calls[[#This Row],[Date of Call]]), YEAR(calls[[#This Row],[Date of Call]])+1)</f>
        <v>2024</v>
      </c>
      <c r="J890" t="str">
        <f>TEXT(calls[[#This Row],[Date of Call]],"DDDD")</f>
        <v>Monday</v>
      </c>
      <c r="K890" t="str" cm="1">
        <f t="array" ref="K8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90">
        <f>ROUND(calls[[#This Row],[Satisfaction Rating]],0)</f>
        <v>4</v>
      </c>
    </row>
    <row r="891" spans="2:12">
      <c r="B891" t="s">
        <v>913</v>
      </c>
      <c r="C891" t="s">
        <v>17</v>
      </c>
      <c r="D891">
        <v>142</v>
      </c>
      <c r="E891" s="17" t="s">
        <v>10</v>
      </c>
      <c r="F891" s="18">
        <v>45229</v>
      </c>
      <c r="G891">
        <v>40</v>
      </c>
      <c r="H891">
        <v>3.8</v>
      </c>
      <c r="I891">
        <f>IF(MONTH(calls[[#This Row],[Date of Call]])&lt;=6, YEAR(calls[[#This Row],[Date of Call]]), YEAR(calls[[#This Row],[Date of Call]])+1)</f>
        <v>2024</v>
      </c>
      <c r="J891" t="str">
        <f>TEXT(calls[[#This Row],[Date of Call]],"DDDD")</f>
        <v>Monday</v>
      </c>
      <c r="K891" t="str" cm="1">
        <f t="array" ref="K89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91">
        <f>ROUND(calls[[#This Row],[Satisfaction Rating]],0)</f>
        <v>4</v>
      </c>
    </row>
    <row r="892" spans="2:12">
      <c r="B892" t="s">
        <v>914</v>
      </c>
      <c r="C892" t="s">
        <v>22</v>
      </c>
      <c r="D892">
        <v>61</v>
      </c>
      <c r="E892" s="17" t="s">
        <v>10</v>
      </c>
      <c r="F892" s="18">
        <v>45229</v>
      </c>
      <c r="G892">
        <v>82</v>
      </c>
      <c r="H892">
        <v>3.1</v>
      </c>
      <c r="I892">
        <f>IF(MONTH(calls[[#This Row],[Date of Call]])&lt;=6, YEAR(calls[[#This Row],[Date of Call]]), YEAR(calls[[#This Row],[Date of Call]])+1)</f>
        <v>2024</v>
      </c>
      <c r="J892" t="str">
        <f>TEXT(calls[[#This Row],[Date of Call]],"DDDD")</f>
        <v>Monday</v>
      </c>
      <c r="K892" t="str" cm="1">
        <f t="array" ref="K8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2">
        <f>ROUND(calls[[#This Row],[Satisfaction Rating]],0)</f>
        <v>3</v>
      </c>
    </row>
    <row r="893" spans="2:12">
      <c r="B893" t="s">
        <v>915</v>
      </c>
      <c r="C893" t="s">
        <v>20</v>
      </c>
      <c r="D893">
        <v>86</v>
      </c>
      <c r="E893" s="17" t="s">
        <v>6</v>
      </c>
      <c r="F893" s="18">
        <v>45230</v>
      </c>
      <c r="G893">
        <v>90</v>
      </c>
      <c r="H893">
        <v>4.4000000000000004</v>
      </c>
      <c r="I893">
        <f>IF(MONTH(calls[[#This Row],[Date of Call]])&lt;=6, YEAR(calls[[#This Row],[Date of Call]]), YEAR(calls[[#This Row],[Date of Call]])+1)</f>
        <v>2024</v>
      </c>
      <c r="J893" t="str">
        <f>TEXT(calls[[#This Row],[Date of Call]],"DDDD")</f>
        <v>Tuesday</v>
      </c>
      <c r="K893" t="str" cm="1">
        <f t="array" ref="K8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3">
        <f>ROUND(calls[[#This Row],[Satisfaction Rating]],0)</f>
        <v>4</v>
      </c>
    </row>
    <row r="894" spans="2:12">
      <c r="B894" t="s">
        <v>916</v>
      </c>
      <c r="C894" t="s">
        <v>23</v>
      </c>
      <c r="D894">
        <v>165</v>
      </c>
      <c r="E894" s="17" t="s">
        <v>13</v>
      </c>
      <c r="F894" s="18">
        <v>45231</v>
      </c>
      <c r="G894">
        <v>66</v>
      </c>
      <c r="H894">
        <v>4.8</v>
      </c>
      <c r="I894">
        <f>IF(MONTH(calls[[#This Row],[Date of Call]])&lt;=6, YEAR(calls[[#This Row],[Date of Call]]), YEAR(calls[[#This Row],[Date of Call]])+1)</f>
        <v>2024</v>
      </c>
      <c r="J894" t="str">
        <f>TEXT(calls[[#This Row],[Date of Call]],"DDDD")</f>
        <v>Wednesday</v>
      </c>
      <c r="K894" t="str" cm="1">
        <f t="array" ref="K8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94">
        <f>ROUND(calls[[#This Row],[Satisfaction Rating]],0)</f>
        <v>5</v>
      </c>
    </row>
    <row r="895" spans="2:12">
      <c r="B895" t="s">
        <v>917</v>
      </c>
      <c r="C895" t="s">
        <v>5</v>
      </c>
      <c r="D895">
        <v>62</v>
      </c>
      <c r="E895" s="17" t="s">
        <v>9</v>
      </c>
      <c r="F895" s="18">
        <v>45231</v>
      </c>
      <c r="G895">
        <v>78</v>
      </c>
      <c r="H895">
        <v>3.5</v>
      </c>
      <c r="I895">
        <f>IF(MONTH(calls[[#This Row],[Date of Call]])&lt;=6, YEAR(calls[[#This Row],[Date of Call]]), YEAR(calls[[#This Row],[Date of Call]])+1)</f>
        <v>2024</v>
      </c>
      <c r="J895" t="str">
        <f>TEXT(calls[[#This Row],[Date of Call]],"DDDD")</f>
        <v>Wednesday</v>
      </c>
      <c r="K895" t="str" cm="1">
        <f t="array" ref="K8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5">
        <f>ROUND(calls[[#This Row],[Satisfaction Rating]],0)</f>
        <v>4</v>
      </c>
    </row>
    <row r="896" spans="2:12">
      <c r="B896" t="s">
        <v>918</v>
      </c>
      <c r="C896" t="s">
        <v>21</v>
      </c>
      <c r="D896">
        <v>103</v>
      </c>
      <c r="E896" s="17" t="s">
        <v>13</v>
      </c>
      <c r="F896" s="18">
        <v>45232</v>
      </c>
      <c r="G896">
        <v>66</v>
      </c>
      <c r="H896">
        <v>4.4000000000000004</v>
      </c>
      <c r="I896">
        <f>IF(MONTH(calls[[#This Row],[Date of Call]])&lt;=6, YEAR(calls[[#This Row],[Date of Call]]), YEAR(calls[[#This Row],[Date of Call]])+1)</f>
        <v>2024</v>
      </c>
      <c r="J896" t="str">
        <f>TEXT(calls[[#This Row],[Date of Call]],"DDDD")</f>
        <v>Thursday</v>
      </c>
      <c r="K896" t="str" cm="1">
        <f t="array" ref="K8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6">
        <f>ROUND(calls[[#This Row],[Satisfaction Rating]],0)</f>
        <v>4</v>
      </c>
    </row>
    <row r="897" spans="2:12">
      <c r="B897" t="s">
        <v>919</v>
      </c>
      <c r="C897" t="s">
        <v>17</v>
      </c>
      <c r="D897">
        <v>56</v>
      </c>
      <c r="E897" s="17" t="s">
        <v>6</v>
      </c>
      <c r="F897" s="18">
        <v>45233</v>
      </c>
      <c r="G897">
        <v>160</v>
      </c>
      <c r="H897">
        <v>3.8</v>
      </c>
      <c r="I897">
        <f>IF(MONTH(calls[[#This Row],[Date of Call]])&lt;=6, YEAR(calls[[#This Row],[Date of Call]]), YEAR(calls[[#This Row],[Date of Call]])+1)</f>
        <v>2024</v>
      </c>
      <c r="J897" t="str">
        <f>TEXT(calls[[#This Row],[Date of Call]],"DDDD")</f>
        <v>Friday</v>
      </c>
      <c r="K897" t="str" cm="1">
        <f t="array" ref="K89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97">
        <f>ROUND(calls[[#This Row],[Satisfaction Rating]],0)</f>
        <v>4</v>
      </c>
    </row>
    <row r="898" spans="2:12">
      <c r="B898" t="s">
        <v>920</v>
      </c>
      <c r="C898" t="s">
        <v>16</v>
      </c>
      <c r="D898">
        <v>114</v>
      </c>
      <c r="E898" s="17" t="s">
        <v>10</v>
      </c>
      <c r="F898" s="18">
        <v>45234</v>
      </c>
      <c r="G898">
        <v>144</v>
      </c>
      <c r="H898">
        <v>3.8</v>
      </c>
      <c r="I898">
        <f>IF(MONTH(calls[[#This Row],[Date of Call]])&lt;=6, YEAR(calls[[#This Row],[Date of Call]]), YEAR(calls[[#This Row],[Date of Call]])+1)</f>
        <v>2024</v>
      </c>
      <c r="J898" t="str">
        <f>TEXT(calls[[#This Row],[Date of Call]],"DDDD")</f>
        <v>Saturday</v>
      </c>
      <c r="K898" t="str" cm="1">
        <f t="array" ref="K8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8">
        <f>ROUND(calls[[#This Row],[Satisfaction Rating]],0)</f>
        <v>4</v>
      </c>
    </row>
    <row r="899" spans="2:12">
      <c r="B899" t="s">
        <v>921</v>
      </c>
      <c r="C899" t="s">
        <v>17</v>
      </c>
      <c r="D899">
        <v>112</v>
      </c>
      <c r="E899" s="17" t="s">
        <v>11</v>
      </c>
      <c r="F899" s="18">
        <v>45234</v>
      </c>
      <c r="G899">
        <v>200</v>
      </c>
      <c r="H899">
        <v>4.5999999999999996</v>
      </c>
      <c r="I899">
        <f>IF(MONTH(calls[[#This Row],[Date of Call]])&lt;=6, YEAR(calls[[#This Row],[Date of Call]]), YEAR(calls[[#This Row],[Date of Call]])+1)</f>
        <v>2024</v>
      </c>
      <c r="J899" t="str">
        <f>TEXT(calls[[#This Row],[Date of Call]],"DDDD")</f>
        <v>Saturday</v>
      </c>
      <c r="K899" t="str" cm="1">
        <f t="array" ref="K8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9">
        <f>ROUND(calls[[#This Row],[Satisfaction Rating]],0)</f>
        <v>5</v>
      </c>
    </row>
    <row r="900" spans="2:12">
      <c r="B900" t="s">
        <v>922</v>
      </c>
      <c r="C900" t="s">
        <v>15</v>
      </c>
      <c r="D900">
        <v>52</v>
      </c>
      <c r="E900" s="17" t="s">
        <v>9</v>
      </c>
      <c r="F900" s="18">
        <v>45236</v>
      </c>
      <c r="G900">
        <v>220</v>
      </c>
      <c r="H900">
        <v>5</v>
      </c>
      <c r="I900">
        <f>IF(MONTH(calls[[#This Row],[Date of Call]])&lt;=6, YEAR(calls[[#This Row],[Date of Call]]), YEAR(calls[[#This Row],[Date of Call]])+1)</f>
        <v>2024</v>
      </c>
      <c r="J900" t="str">
        <f>TEXT(calls[[#This Row],[Date of Call]],"DDDD")</f>
        <v>Monday</v>
      </c>
      <c r="K900" t="str" cm="1">
        <f t="array" ref="K90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00">
        <f>ROUND(calls[[#This Row],[Satisfaction Rating]],0)</f>
        <v>5</v>
      </c>
    </row>
    <row r="901" spans="2:12">
      <c r="B901" t="s">
        <v>923</v>
      </c>
      <c r="C901" t="s">
        <v>21</v>
      </c>
      <c r="D901">
        <v>105</v>
      </c>
      <c r="E901" s="17" t="s">
        <v>13</v>
      </c>
      <c r="F901" s="18">
        <v>45237</v>
      </c>
      <c r="G901">
        <v>112</v>
      </c>
      <c r="H901">
        <v>3.2</v>
      </c>
      <c r="I901">
        <f>IF(MONTH(calls[[#This Row],[Date of Call]])&lt;=6, YEAR(calls[[#This Row],[Date of Call]]), YEAR(calls[[#This Row],[Date of Call]])+1)</f>
        <v>2024</v>
      </c>
      <c r="J901" t="str">
        <f>TEXT(calls[[#This Row],[Date of Call]],"DDDD")</f>
        <v>Tuesday</v>
      </c>
      <c r="K901" t="str" cm="1">
        <f t="array" ref="K9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1">
        <f>ROUND(calls[[#This Row],[Satisfaction Rating]],0)</f>
        <v>3</v>
      </c>
    </row>
    <row r="902" spans="2:12">
      <c r="B902" t="s">
        <v>924</v>
      </c>
      <c r="C902" t="s">
        <v>23</v>
      </c>
      <c r="D902">
        <v>91</v>
      </c>
      <c r="E902" s="17" t="s">
        <v>6</v>
      </c>
      <c r="F902" s="18">
        <v>45237</v>
      </c>
      <c r="G902">
        <v>110</v>
      </c>
      <c r="H902">
        <v>3.7</v>
      </c>
      <c r="I902">
        <f>IF(MONTH(calls[[#This Row],[Date of Call]])&lt;=6, YEAR(calls[[#This Row],[Date of Call]]), YEAR(calls[[#This Row],[Date of Call]])+1)</f>
        <v>2024</v>
      </c>
      <c r="J902" t="str">
        <f>TEXT(calls[[#This Row],[Date of Call]],"DDDD")</f>
        <v>Tuesday</v>
      </c>
      <c r="K902" t="str" cm="1">
        <f t="array" ref="K9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2">
        <f>ROUND(calls[[#This Row],[Satisfaction Rating]],0)</f>
        <v>4</v>
      </c>
    </row>
    <row r="903" spans="2:12">
      <c r="B903" t="s">
        <v>925</v>
      </c>
      <c r="C903" t="s">
        <v>19</v>
      </c>
      <c r="D903">
        <v>74</v>
      </c>
      <c r="E903" s="17" t="s">
        <v>10</v>
      </c>
      <c r="F903" s="18">
        <v>45238</v>
      </c>
      <c r="G903">
        <v>160</v>
      </c>
      <c r="H903">
        <v>2.7</v>
      </c>
      <c r="I903">
        <f>IF(MONTH(calls[[#This Row],[Date of Call]])&lt;=6, YEAR(calls[[#This Row],[Date of Call]]), YEAR(calls[[#This Row],[Date of Call]])+1)</f>
        <v>2024</v>
      </c>
      <c r="J903" t="str">
        <f>TEXT(calls[[#This Row],[Date of Call]],"DDDD")</f>
        <v>Wednesday</v>
      </c>
      <c r="K903" t="str" cm="1">
        <f t="array" ref="K9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3">
        <f>ROUND(calls[[#This Row],[Satisfaction Rating]],0)</f>
        <v>3</v>
      </c>
    </row>
    <row r="904" spans="2:12">
      <c r="B904" t="s">
        <v>926</v>
      </c>
      <c r="C904" t="s">
        <v>19</v>
      </c>
      <c r="D904">
        <v>30</v>
      </c>
      <c r="E904" s="17" t="s">
        <v>6</v>
      </c>
      <c r="F904" s="18">
        <v>45238</v>
      </c>
      <c r="G904">
        <v>84</v>
      </c>
      <c r="H904">
        <v>4</v>
      </c>
      <c r="I904">
        <f>IF(MONTH(calls[[#This Row],[Date of Call]])&lt;=6, YEAR(calls[[#This Row],[Date of Call]]), YEAR(calls[[#This Row],[Date of Call]])+1)</f>
        <v>2024</v>
      </c>
      <c r="J904" t="str">
        <f>TEXT(calls[[#This Row],[Date of Call]],"DDDD")</f>
        <v>Wednesday</v>
      </c>
      <c r="K904" t="str" cm="1">
        <f t="array" ref="K904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04">
        <f>ROUND(calls[[#This Row],[Satisfaction Rating]],0)</f>
        <v>4</v>
      </c>
    </row>
    <row r="905" spans="2:12">
      <c r="B905" t="s">
        <v>927</v>
      </c>
      <c r="C905" t="s">
        <v>23</v>
      </c>
      <c r="D905">
        <v>56</v>
      </c>
      <c r="E905" s="17" t="s">
        <v>9</v>
      </c>
      <c r="F905" s="18">
        <v>45238</v>
      </c>
      <c r="G905">
        <v>124</v>
      </c>
      <c r="H905">
        <v>2.6</v>
      </c>
      <c r="I905">
        <f>IF(MONTH(calls[[#This Row],[Date of Call]])&lt;=6, YEAR(calls[[#This Row],[Date of Call]]), YEAR(calls[[#This Row],[Date of Call]])+1)</f>
        <v>2024</v>
      </c>
      <c r="J905" t="str">
        <f>TEXT(calls[[#This Row],[Date of Call]],"DDDD")</f>
        <v>Wednesday</v>
      </c>
      <c r="K905" t="str" cm="1">
        <f t="array" ref="K90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05">
        <f>ROUND(calls[[#This Row],[Satisfaction Rating]],0)</f>
        <v>3</v>
      </c>
    </row>
    <row r="906" spans="2:12">
      <c r="B906" t="s">
        <v>928</v>
      </c>
      <c r="C906" t="s">
        <v>19</v>
      </c>
      <c r="D906">
        <v>151</v>
      </c>
      <c r="E906" s="17" t="s">
        <v>11</v>
      </c>
      <c r="F906" s="18">
        <v>45238</v>
      </c>
      <c r="G906">
        <v>84</v>
      </c>
      <c r="H906">
        <v>4.5999999999999996</v>
      </c>
      <c r="I906">
        <f>IF(MONTH(calls[[#This Row],[Date of Call]])&lt;=6, YEAR(calls[[#This Row],[Date of Call]]), YEAR(calls[[#This Row],[Date of Call]])+1)</f>
        <v>2024</v>
      </c>
      <c r="J906" t="str">
        <f>TEXT(calls[[#This Row],[Date of Call]],"DDDD")</f>
        <v>Wednesday</v>
      </c>
      <c r="K906" t="str" cm="1">
        <f t="array" ref="K90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06">
        <f>ROUND(calls[[#This Row],[Satisfaction Rating]],0)</f>
        <v>5</v>
      </c>
    </row>
    <row r="907" spans="2:12">
      <c r="B907" t="s">
        <v>929</v>
      </c>
      <c r="C907" t="s">
        <v>12</v>
      </c>
      <c r="D907">
        <v>108</v>
      </c>
      <c r="E907" s="17" t="s">
        <v>13</v>
      </c>
      <c r="F907" s="18">
        <v>45239</v>
      </c>
      <c r="G907">
        <v>130</v>
      </c>
      <c r="H907">
        <v>2.7</v>
      </c>
      <c r="I907">
        <f>IF(MONTH(calls[[#This Row],[Date of Call]])&lt;=6, YEAR(calls[[#This Row],[Date of Call]]), YEAR(calls[[#This Row],[Date of Call]])+1)</f>
        <v>2024</v>
      </c>
      <c r="J907" t="str">
        <f>TEXT(calls[[#This Row],[Date of Call]],"DDDD")</f>
        <v>Thursday</v>
      </c>
      <c r="K907" t="str" cm="1">
        <f t="array" ref="K9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7">
        <f>ROUND(calls[[#This Row],[Satisfaction Rating]],0)</f>
        <v>3</v>
      </c>
    </row>
    <row r="908" spans="2:12">
      <c r="B908" t="s">
        <v>930</v>
      </c>
      <c r="C908" t="s">
        <v>16</v>
      </c>
      <c r="D908">
        <v>124</v>
      </c>
      <c r="E908" s="17" t="s">
        <v>10</v>
      </c>
      <c r="F908" s="18">
        <v>45239</v>
      </c>
      <c r="G908">
        <v>215</v>
      </c>
      <c r="H908">
        <v>3.5</v>
      </c>
      <c r="I908">
        <f>IF(MONTH(calls[[#This Row],[Date of Call]])&lt;=6, YEAR(calls[[#This Row],[Date of Call]]), YEAR(calls[[#This Row],[Date of Call]])+1)</f>
        <v>2024</v>
      </c>
      <c r="J908" t="str">
        <f>TEXT(calls[[#This Row],[Date of Call]],"DDDD")</f>
        <v>Thursday</v>
      </c>
      <c r="K908" t="str" cm="1">
        <f t="array" ref="K90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08">
        <f>ROUND(calls[[#This Row],[Satisfaction Rating]],0)</f>
        <v>4</v>
      </c>
    </row>
    <row r="909" spans="2:12">
      <c r="B909" t="s">
        <v>931</v>
      </c>
      <c r="C909" t="s">
        <v>21</v>
      </c>
      <c r="D909">
        <v>110</v>
      </c>
      <c r="E909" s="17" t="s">
        <v>9</v>
      </c>
      <c r="F909" s="18">
        <v>45240</v>
      </c>
      <c r="G909">
        <v>132</v>
      </c>
      <c r="H909">
        <v>3.6</v>
      </c>
      <c r="I909">
        <f>IF(MONTH(calls[[#This Row],[Date of Call]])&lt;=6, YEAR(calls[[#This Row],[Date of Call]]), YEAR(calls[[#This Row],[Date of Call]])+1)</f>
        <v>2024</v>
      </c>
      <c r="J909" t="str">
        <f>TEXT(calls[[#This Row],[Date of Call]],"DDDD")</f>
        <v>Friday</v>
      </c>
      <c r="K909" t="str" cm="1">
        <f t="array" ref="K9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9">
        <f>ROUND(calls[[#This Row],[Satisfaction Rating]],0)</f>
        <v>4</v>
      </c>
    </row>
    <row r="910" spans="2:12">
      <c r="B910" t="s">
        <v>932</v>
      </c>
      <c r="C910" t="s">
        <v>18</v>
      </c>
      <c r="D910">
        <v>89</v>
      </c>
      <c r="E910" s="17" t="s">
        <v>13</v>
      </c>
      <c r="F910" s="18">
        <v>45240</v>
      </c>
      <c r="G910">
        <v>88</v>
      </c>
      <c r="H910">
        <v>4.9000000000000004</v>
      </c>
      <c r="I910">
        <f>IF(MONTH(calls[[#This Row],[Date of Call]])&lt;=6, YEAR(calls[[#This Row],[Date of Call]]), YEAR(calls[[#This Row],[Date of Call]])+1)</f>
        <v>2024</v>
      </c>
      <c r="J910" t="str">
        <f>TEXT(calls[[#This Row],[Date of Call]],"DDDD")</f>
        <v>Friday</v>
      </c>
      <c r="K910" t="str" cm="1">
        <f t="array" ref="K9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0">
        <f>ROUND(calls[[#This Row],[Satisfaction Rating]],0)</f>
        <v>5</v>
      </c>
    </row>
    <row r="911" spans="2:12">
      <c r="B911" t="s">
        <v>933</v>
      </c>
      <c r="C911" t="s">
        <v>20</v>
      </c>
      <c r="D911">
        <v>95</v>
      </c>
      <c r="E911" s="17" t="s">
        <v>9</v>
      </c>
      <c r="F911" s="18">
        <v>45240</v>
      </c>
      <c r="G911">
        <v>140</v>
      </c>
      <c r="H911">
        <v>3.9</v>
      </c>
      <c r="I911">
        <f>IF(MONTH(calls[[#This Row],[Date of Call]])&lt;=6, YEAR(calls[[#This Row],[Date of Call]]), YEAR(calls[[#This Row],[Date of Call]])+1)</f>
        <v>2024</v>
      </c>
      <c r="J911" t="str">
        <f>TEXT(calls[[#This Row],[Date of Call]],"DDDD")</f>
        <v>Friday</v>
      </c>
      <c r="K911" t="str" cm="1">
        <f t="array" ref="K9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1">
        <f>ROUND(calls[[#This Row],[Satisfaction Rating]],0)</f>
        <v>4</v>
      </c>
    </row>
    <row r="912" spans="2:12">
      <c r="B912" t="s">
        <v>934</v>
      </c>
      <c r="C912" t="s">
        <v>19</v>
      </c>
      <c r="D912">
        <v>84</v>
      </c>
      <c r="E912" s="17" t="s">
        <v>13</v>
      </c>
      <c r="F912" s="18">
        <v>45241</v>
      </c>
      <c r="G912">
        <v>66</v>
      </c>
      <c r="H912">
        <v>4.7</v>
      </c>
      <c r="I912">
        <f>IF(MONTH(calls[[#This Row],[Date of Call]])&lt;=6, YEAR(calls[[#This Row],[Date of Call]]), YEAR(calls[[#This Row],[Date of Call]])+1)</f>
        <v>2024</v>
      </c>
      <c r="J912" t="str">
        <f>TEXT(calls[[#This Row],[Date of Call]],"DDDD")</f>
        <v>Saturday</v>
      </c>
      <c r="K912" t="str" cm="1">
        <f t="array" ref="K9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2">
        <f>ROUND(calls[[#This Row],[Satisfaction Rating]],0)</f>
        <v>5</v>
      </c>
    </row>
    <row r="913" spans="2:12">
      <c r="B913" t="s">
        <v>935</v>
      </c>
      <c r="C913" t="s">
        <v>24</v>
      </c>
      <c r="D913">
        <v>89</v>
      </c>
      <c r="E913" s="17" t="s">
        <v>10</v>
      </c>
      <c r="F913" s="18">
        <v>45241</v>
      </c>
      <c r="G913">
        <v>23</v>
      </c>
      <c r="H913">
        <v>4.5</v>
      </c>
      <c r="I913">
        <f>IF(MONTH(calls[[#This Row],[Date of Call]])&lt;=6, YEAR(calls[[#This Row],[Date of Call]]), YEAR(calls[[#This Row],[Date of Call]])+1)</f>
        <v>2024</v>
      </c>
      <c r="J913" t="str">
        <f>TEXT(calls[[#This Row],[Date of Call]],"DDDD")</f>
        <v>Saturday</v>
      </c>
      <c r="K913" t="str" cm="1">
        <f t="array" ref="K9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3">
        <f>ROUND(calls[[#This Row],[Satisfaction Rating]],0)</f>
        <v>5</v>
      </c>
    </row>
    <row r="914" spans="2:12">
      <c r="B914" t="s">
        <v>936</v>
      </c>
      <c r="C914" t="s">
        <v>18</v>
      </c>
      <c r="D914">
        <v>146</v>
      </c>
      <c r="E914" s="17" t="s">
        <v>10</v>
      </c>
      <c r="F914" s="18">
        <v>45242</v>
      </c>
      <c r="G914">
        <v>220</v>
      </c>
      <c r="H914">
        <v>4.5</v>
      </c>
      <c r="I914">
        <f>IF(MONTH(calls[[#This Row],[Date of Call]])&lt;=6, YEAR(calls[[#This Row],[Date of Call]]), YEAR(calls[[#This Row],[Date of Call]])+1)</f>
        <v>2024</v>
      </c>
      <c r="J914" t="str">
        <f>TEXT(calls[[#This Row],[Date of Call]],"DDDD")</f>
        <v>Sunday</v>
      </c>
      <c r="K914" t="str" cm="1">
        <f t="array" ref="K9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14">
        <f>ROUND(calls[[#This Row],[Satisfaction Rating]],0)</f>
        <v>5</v>
      </c>
    </row>
    <row r="915" spans="2:12">
      <c r="B915" t="s">
        <v>937</v>
      </c>
      <c r="C915" t="s">
        <v>14</v>
      </c>
      <c r="D915">
        <v>62</v>
      </c>
      <c r="E915" s="17" t="s">
        <v>6</v>
      </c>
      <c r="F915" s="18">
        <v>45243</v>
      </c>
      <c r="G915">
        <v>175</v>
      </c>
      <c r="H915">
        <v>4.4000000000000004</v>
      </c>
      <c r="I915">
        <f>IF(MONTH(calls[[#This Row],[Date of Call]])&lt;=6, YEAR(calls[[#This Row],[Date of Call]]), YEAR(calls[[#This Row],[Date of Call]])+1)</f>
        <v>2024</v>
      </c>
      <c r="J915" t="str">
        <f>TEXT(calls[[#This Row],[Date of Call]],"DDDD")</f>
        <v>Monday</v>
      </c>
      <c r="K915" t="str" cm="1">
        <f t="array" ref="K9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5">
        <f>ROUND(calls[[#This Row],[Satisfaction Rating]],0)</f>
        <v>4</v>
      </c>
    </row>
    <row r="916" spans="2:12">
      <c r="B916" t="s">
        <v>938</v>
      </c>
      <c r="C916" t="s">
        <v>17</v>
      </c>
      <c r="D916">
        <v>82</v>
      </c>
      <c r="E916" s="17" t="s">
        <v>10</v>
      </c>
      <c r="F916" s="18">
        <v>45243</v>
      </c>
      <c r="G916">
        <v>172</v>
      </c>
      <c r="H916">
        <v>4.0999999999999996</v>
      </c>
      <c r="I916">
        <f>IF(MONTH(calls[[#This Row],[Date of Call]])&lt;=6, YEAR(calls[[#This Row],[Date of Call]]), YEAR(calls[[#This Row],[Date of Call]])+1)</f>
        <v>2024</v>
      </c>
      <c r="J916" t="str">
        <f>TEXT(calls[[#This Row],[Date of Call]],"DDDD")</f>
        <v>Monday</v>
      </c>
      <c r="K916" t="str" cm="1">
        <f t="array" ref="K9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6">
        <f>ROUND(calls[[#This Row],[Satisfaction Rating]],0)</f>
        <v>4</v>
      </c>
    </row>
    <row r="917" spans="2:12">
      <c r="B917" t="s">
        <v>939</v>
      </c>
      <c r="C917" t="s">
        <v>22</v>
      </c>
      <c r="D917">
        <v>91</v>
      </c>
      <c r="E917" s="17" t="s">
        <v>11</v>
      </c>
      <c r="F917" s="18">
        <v>45243</v>
      </c>
      <c r="G917">
        <v>108</v>
      </c>
      <c r="H917">
        <v>3.8</v>
      </c>
      <c r="I917">
        <f>IF(MONTH(calls[[#This Row],[Date of Call]])&lt;=6, YEAR(calls[[#This Row],[Date of Call]]), YEAR(calls[[#This Row],[Date of Call]])+1)</f>
        <v>2024</v>
      </c>
      <c r="J917" t="str">
        <f>TEXT(calls[[#This Row],[Date of Call]],"DDDD")</f>
        <v>Monday</v>
      </c>
      <c r="K917" t="str" cm="1">
        <f t="array" ref="K91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7">
        <f>ROUND(calls[[#This Row],[Satisfaction Rating]],0)</f>
        <v>4</v>
      </c>
    </row>
    <row r="918" spans="2:12">
      <c r="B918" t="s">
        <v>940</v>
      </c>
      <c r="C918" t="s">
        <v>24</v>
      </c>
      <c r="D918">
        <v>39</v>
      </c>
      <c r="E918" s="17" t="s">
        <v>10</v>
      </c>
      <c r="F918" s="18">
        <v>45244</v>
      </c>
      <c r="G918">
        <v>43</v>
      </c>
      <c r="H918">
        <v>4.2</v>
      </c>
      <c r="I918">
        <f>IF(MONTH(calls[[#This Row],[Date of Call]])&lt;=6, YEAR(calls[[#This Row],[Date of Call]]), YEAR(calls[[#This Row],[Date of Call]])+1)</f>
        <v>2024</v>
      </c>
      <c r="J918" t="str">
        <f>TEXT(calls[[#This Row],[Date of Call]],"DDDD")</f>
        <v>Tuesday</v>
      </c>
      <c r="K918" t="str" cm="1">
        <f t="array" ref="K9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18">
        <f>ROUND(calls[[#This Row],[Satisfaction Rating]],0)</f>
        <v>4</v>
      </c>
    </row>
    <row r="919" spans="2:12">
      <c r="B919" t="s">
        <v>941</v>
      </c>
      <c r="C919" t="s">
        <v>18</v>
      </c>
      <c r="D919">
        <v>149</v>
      </c>
      <c r="E919" s="17" t="s">
        <v>9</v>
      </c>
      <c r="F919" s="18">
        <v>45244</v>
      </c>
      <c r="G919">
        <v>44</v>
      </c>
      <c r="H919">
        <v>2.2000000000000002</v>
      </c>
      <c r="I919">
        <f>IF(MONTH(calls[[#This Row],[Date of Call]])&lt;=6, YEAR(calls[[#This Row],[Date of Call]]), YEAR(calls[[#This Row],[Date of Call]])+1)</f>
        <v>2024</v>
      </c>
      <c r="J919" t="str">
        <f>TEXT(calls[[#This Row],[Date of Call]],"DDDD")</f>
        <v>Tuesday</v>
      </c>
      <c r="K919" t="str" cm="1">
        <f t="array" ref="K91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19">
        <f>ROUND(calls[[#This Row],[Satisfaction Rating]],0)</f>
        <v>2</v>
      </c>
    </row>
    <row r="920" spans="2:12">
      <c r="B920" t="s">
        <v>942</v>
      </c>
      <c r="C920" t="s">
        <v>17</v>
      </c>
      <c r="D920">
        <v>138</v>
      </c>
      <c r="E920" s="17" t="s">
        <v>6</v>
      </c>
      <c r="F920" s="18">
        <v>45244</v>
      </c>
      <c r="G920">
        <v>105</v>
      </c>
      <c r="H920">
        <v>3.9</v>
      </c>
      <c r="I920">
        <f>IF(MONTH(calls[[#This Row],[Date of Call]])&lt;=6, YEAR(calls[[#This Row],[Date of Call]]), YEAR(calls[[#This Row],[Date of Call]])+1)</f>
        <v>2024</v>
      </c>
      <c r="J920" t="str">
        <f>TEXT(calls[[#This Row],[Date of Call]],"DDDD")</f>
        <v>Tuesday</v>
      </c>
      <c r="K920" t="str" cm="1">
        <f t="array" ref="K92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20">
        <f>ROUND(calls[[#This Row],[Satisfaction Rating]],0)</f>
        <v>4</v>
      </c>
    </row>
    <row r="921" spans="2:12">
      <c r="B921" t="s">
        <v>943</v>
      </c>
      <c r="C921" t="s">
        <v>14</v>
      </c>
      <c r="D921">
        <v>113</v>
      </c>
      <c r="E921" s="17" t="s">
        <v>9</v>
      </c>
      <c r="F921" s="18">
        <v>45245</v>
      </c>
      <c r="G921">
        <v>34</v>
      </c>
      <c r="H921">
        <v>3.9</v>
      </c>
      <c r="I921">
        <f>IF(MONTH(calls[[#This Row],[Date of Call]])&lt;=6, YEAR(calls[[#This Row],[Date of Call]]), YEAR(calls[[#This Row],[Date of Call]])+1)</f>
        <v>2024</v>
      </c>
      <c r="J921" t="str">
        <f>TEXT(calls[[#This Row],[Date of Call]],"DDDD")</f>
        <v>Wednesday</v>
      </c>
      <c r="K921" t="str" cm="1">
        <f t="array" ref="K9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1">
        <f>ROUND(calls[[#This Row],[Satisfaction Rating]],0)</f>
        <v>4</v>
      </c>
    </row>
    <row r="922" spans="2:12">
      <c r="B922" t="s">
        <v>944</v>
      </c>
      <c r="C922" t="s">
        <v>8</v>
      </c>
      <c r="D922">
        <v>88</v>
      </c>
      <c r="E922" s="17" t="s">
        <v>10</v>
      </c>
      <c r="F922" s="18">
        <v>45245</v>
      </c>
      <c r="G922">
        <v>220</v>
      </c>
      <c r="H922">
        <v>4.0999999999999996</v>
      </c>
      <c r="I922">
        <f>IF(MONTH(calls[[#This Row],[Date of Call]])&lt;=6, YEAR(calls[[#This Row],[Date of Call]]), YEAR(calls[[#This Row],[Date of Call]])+1)</f>
        <v>2024</v>
      </c>
      <c r="J922" t="str">
        <f>TEXT(calls[[#This Row],[Date of Call]],"DDDD")</f>
        <v>Wednesday</v>
      </c>
      <c r="K922" t="str" cm="1">
        <f t="array" ref="K9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2">
        <f>ROUND(calls[[#This Row],[Satisfaction Rating]],0)</f>
        <v>4</v>
      </c>
    </row>
    <row r="923" spans="2:12">
      <c r="B923" t="s">
        <v>945</v>
      </c>
      <c r="C923" t="s">
        <v>20</v>
      </c>
      <c r="D923">
        <v>64</v>
      </c>
      <c r="E923" s="17" t="s">
        <v>6</v>
      </c>
      <c r="F923" s="18">
        <v>45245</v>
      </c>
      <c r="G923">
        <v>225</v>
      </c>
      <c r="H923">
        <v>4.5999999999999996</v>
      </c>
      <c r="I923">
        <f>IF(MONTH(calls[[#This Row],[Date of Call]])&lt;=6, YEAR(calls[[#This Row],[Date of Call]]), YEAR(calls[[#This Row],[Date of Call]])+1)</f>
        <v>2024</v>
      </c>
      <c r="J923" t="str">
        <f>TEXT(calls[[#This Row],[Date of Call]],"DDDD")</f>
        <v>Wednesday</v>
      </c>
      <c r="K923" t="str" cm="1">
        <f t="array" ref="K9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3">
        <f>ROUND(calls[[#This Row],[Satisfaction Rating]],0)</f>
        <v>5</v>
      </c>
    </row>
    <row r="924" spans="2:12">
      <c r="B924" t="s">
        <v>946</v>
      </c>
      <c r="C924" t="s">
        <v>23</v>
      </c>
      <c r="D924">
        <v>53</v>
      </c>
      <c r="E924" s="17" t="s">
        <v>6</v>
      </c>
      <c r="F924" s="18">
        <v>45246</v>
      </c>
      <c r="G924">
        <v>37</v>
      </c>
      <c r="H924">
        <v>4.0999999999999996</v>
      </c>
      <c r="I924">
        <f>IF(MONTH(calls[[#This Row],[Date of Call]])&lt;=6, YEAR(calls[[#This Row],[Date of Call]]), YEAR(calls[[#This Row],[Date of Call]])+1)</f>
        <v>2024</v>
      </c>
      <c r="J924" t="str">
        <f>TEXT(calls[[#This Row],[Date of Call]],"DDDD")</f>
        <v>Thursday</v>
      </c>
      <c r="K924" t="str" cm="1">
        <f t="array" ref="K92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24">
        <f>ROUND(calls[[#This Row],[Satisfaction Rating]],0)</f>
        <v>4</v>
      </c>
    </row>
    <row r="925" spans="2:12">
      <c r="B925" t="s">
        <v>947</v>
      </c>
      <c r="C925" t="s">
        <v>16</v>
      </c>
      <c r="D925">
        <v>63</v>
      </c>
      <c r="E925" s="17" t="s">
        <v>9</v>
      </c>
      <c r="F925" s="18">
        <v>45246</v>
      </c>
      <c r="G925">
        <v>44</v>
      </c>
      <c r="H925">
        <v>5</v>
      </c>
      <c r="I925">
        <f>IF(MONTH(calls[[#This Row],[Date of Call]])&lt;=6, YEAR(calls[[#This Row],[Date of Call]]), YEAR(calls[[#This Row],[Date of Call]])+1)</f>
        <v>2024</v>
      </c>
      <c r="J925" t="str">
        <f>TEXT(calls[[#This Row],[Date of Call]],"DDDD")</f>
        <v>Thursday</v>
      </c>
      <c r="K925" t="str" cm="1">
        <f t="array" ref="K9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5">
        <f>ROUND(calls[[#This Row],[Satisfaction Rating]],0)</f>
        <v>5</v>
      </c>
    </row>
    <row r="926" spans="2:12">
      <c r="B926" t="s">
        <v>948</v>
      </c>
      <c r="C926" t="s">
        <v>15</v>
      </c>
      <c r="D926">
        <v>54</v>
      </c>
      <c r="E926" s="17" t="s">
        <v>9</v>
      </c>
      <c r="F926" s="18">
        <v>45247</v>
      </c>
      <c r="G926">
        <v>35</v>
      </c>
      <c r="H926">
        <v>2.8</v>
      </c>
      <c r="I926">
        <f>IF(MONTH(calls[[#This Row],[Date of Call]])&lt;=6, YEAR(calls[[#This Row],[Date of Call]]), YEAR(calls[[#This Row],[Date of Call]])+1)</f>
        <v>2024</v>
      </c>
      <c r="J926" t="str">
        <f>TEXT(calls[[#This Row],[Date of Call]],"DDDD")</f>
        <v>Friday</v>
      </c>
      <c r="K926" t="str" cm="1">
        <f t="array" ref="K92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26">
        <f>ROUND(calls[[#This Row],[Satisfaction Rating]],0)</f>
        <v>3</v>
      </c>
    </row>
    <row r="927" spans="2:12">
      <c r="B927" t="s">
        <v>949</v>
      </c>
      <c r="C927" t="s">
        <v>16</v>
      </c>
      <c r="D927">
        <v>54</v>
      </c>
      <c r="E927" s="17" t="s">
        <v>10</v>
      </c>
      <c r="F927" s="18">
        <v>45247</v>
      </c>
      <c r="G927">
        <v>145</v>
      </c>
      <c r="H927">
        <v>2.7</v>
      </c>
      <c r="I927">
        <f>IF(MONTH(calls[[#This Row],[Date of Call]])&lt;=6, YEAR(calls[[#This Row],[Date of Call]]), YEAR(calls[[#This Row],[Date of Call]])+1)</f>
        <v>2024</v>
      </c>
      <c r="J927" t="str">
        <f>TEXT(calls[[#This Row],[Date of Call]],"DDDD")</f>
        <v>Friday</v>
      </c>
      <c r="K927" t="str" cm="1">
        <f t="array" ref="K92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27">
        <f>ROUND(calls[[#This Row],[Satisfaction Rating]],0)</f>
        <v>3</v>
      </c>
    </row>
    <row r="928" spans="2:12">
      <c r="B928" t="s">
        <v>950</v>
      </c>
      <c r="C928" t="s">
        <v>18</v>
      </c>
      <c r="D928">
        <v>71</v>
      </c>
      <c r="E928" s="17" t="s">
        <v>6</v>
      </c>
      <c r="F928" s="18">
        <v>45247</v>
      </c>
      <c r="G928">
        <v>64</v>
      </c>
      <c r="H928">
        <v>3.9</v>
      </c>
      <c r="I928">
        <f>IF(MONTH(calls[[#This Row],[Date of Call]])&lt;=6, YEAR(calls[[#This Row],[Date of Call]]), YEAR(calls[[#This Row],[Date of Call]])+1)</f>
        <v>2024</v>
      </c>
      <c r="J928" t="str">
        <f>TEXT(calls[[#This Row],[Date of Call]],"DDDD")</f>
        <v>Friday</v>
      </c>
      <c r="K928" t="str" cm="1">
        <f t="array" ref="K9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8">
        <f>ROUND(calls[[#This Row],[Satisfaction Rating]],0)</f>
        <v>4</v>
      </c>
    </row>
    <row r="929" spans="2:12">
      <c r="B929" t="s">
        <v>951</v>
      </c>
      <c r="C929" t="s">
        <v>16</v>
      </c>
      <c r="D929">
        <v>93</v>
      </c>
      <c r="E929" s="17" t="s">
        <v>10</v>
      </c>
      <c r="F929" s="18">
        <v>45248</v>
      </c>
      <c r="G929">
        <v>185</v>
      </c>
      <c r="H929">
        <v>4.3</v>
      </c>
      <c r="I929">
        <f>IF(MONTH(calls[[#This Row],[Date of Call]])&lt;=6, YEAR(calls[[#This Row],[Date of Call]]), YEAR(calls[[#This Row],[Date of Call]])+1)</f>
        <v>2024</v>
      </c>
      <c r="J929" t="str">
        <f>TEXT(calls[[#This Row],[Date of Call]],"DDDD")</f>
        <v>Saturday</v>
      </c>
      <c r="K929" t="str" cm="1">
        <f t="array" ref="K9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9">
        <f>ROUND(calls[[#This Row],[Satisfaction Rating]],0)</f>
        <v>4</v>
      </c>
    </row>
    <row r="930" spans="2:12">
      <c r="B930" t="s">
        <v>952</v>
      </c>
      <c r="C930" t="s">
        <v>21</v>
      </c>
      <c r="D930">
        <v>96</v>
      </c>
      <c r="E930" s="17" t="s">
        <v>9</v>
      </c>
      <c r="F930" s="18">
        <v>45248</v>
      </c>
      <c r="G930">
        <v>215</v>
      </c>
      <c r="H930">
        <v>2.5</v>
      </c>
      <c r="I930">
        <f>IF(MONTH(calls[[#This Row],[Date of Call]])&lt;=6, YEAR(calls[[#This Row],[Date of Call]]), YEAR(calls[[#This Row],[Date of Call]])+1)</f>
        <v>2024</v>
      </c>
      <c r="J930" t="str">
        <f>TEXT(calls[[#This Row],[Date of Call]],"DDDD")</f>
        <v>Saturday</v>
      </c>
      <c r="K930" t="str" cm="1">
        <f t="array" ref="K9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0">
        <f>ROUND(calls[[#This Row],[Satisfaction Rating]],0)</f>
        <v>3</v>
      </c>
    </row>
    <row r="931" spans="2:12">
      <c r="B931" t="s">
        <v>953</v>
      </c>
      <c r="C931" t="s">
        <v>24</v>
      </c>
      <c r="D931">
        <v>31</v>
      </c>
      <c r="E931" s="17" t="s">
        <v>11</v>
      </c>
      <c r="F931" s="18">
        <v>45248</v>
      </c>
      <c r="G931">
        <v>88</v>
      </c>
      <c r="H931">
        <v>3.4</v>
      </c>
      <c r="I931">
        <f>IF(MONTH(calls[[#This Row],[Date of Call]])&lt;=6, YEAR(calls[[#This Row],[Date of Call]]), YEAR(calls[[#This Row],[Date of Call]])+1)</f>
        <v>2024</v>
      </c>
      <c r="J931" t="str">
        <f>TEXT(calls[[#This Row],[Date of Call]],"DDDD")</f>
        <v>Saturday</v>
      </c>
      <c r="K931" t="str" cm="1">
        <f t="array" ref="K93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31">
        <f>ROUND(calls[[#This Row],[Satisfaction Rating]],0)</f>
        <v>3</v>
      </c>
    </row>
    <row r="932" spans="2:12">
      <c r="B932" t="s">
        <v>954</v>
      </c>
      <c r="C932" t="s">
        <v>16</v>
      </c>
      <c r="D932">
        <v>107</v>
      </c>
      <c r="E932" s="17" t="s">
        <v>6</v>
      </c>
      <c r="F932" s="18">
        <v>45248</v>
      </c>
      <c r="G932">
        <v>23</v>
      </c>
      <c r="H932">
        <v>3.4</v>
      </c>
      <c r="I932">
        <f>IF(MONTH(calls[[#This Row],[Date of Call]])&lt;=6, YEAR(calls[[#This Row],[Date of Call]]), YEAR(calls[[#This Row],[Date of Call]])+1)</f>
        <v>2024</v>
      </c>
      <c r="J932" t="str">
        <f>TEXT(calls[[#This Row],[Date of Call]],"DDDD")</f>
        <v>Saturday</v>
      </c>
      <c r="K932" t="str" cm="1">
        <f t="array" ref="K93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2">
        <f>ROUND(calls[[#This Row],[Satisfaction Rating]],0)</f>
        <v>3</v>
      </c>
    </row>
    <row r="933" spans="2:12">
      <c r="B933" t="s">
        <v>955</v>
      </c>
      <c r="C933" t="s">
        <v>23</v>
      </c>
      <c r="D933">
        <v>50</v>
      </c>
      <c r="E933" s="17" t="s">
        <v>11</v>
      </c>
      <c r="F933" s="18">
        <v>45249</v>
      </c>
      <c r="G933">
        <v>180</v>
      </c>
      <c r="H933">
        <v>1.8</v>
      </c>
      <c r="I933">
        <f>IF(MONTH(calls[[#This Row],[Date of Call]])&lt;=6, YEAR(calls[[#This Row],[Date of Call]]), YEAR(calls[[#This Row],[Date of Call]])+1)</f>
        <v>2024</v>
      </c>
      <c r="J933" t="str">
        <f>TEXT(calls[[#This Row],[Date of Call]],"DDDD")</f>
        <v>Sunday</v>
      </c>
      <c r="K933" t="str" cm="1">
        <f t="array" ref="K93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33">
        <f>ROUND(calls[[#This Row],[Satisfaction Rating]],0)</f>
        <v>2</v>
      </c>
    </row>
    <row r="934" spans="2:12">
      <c r="B934" t="s">
        <v>956</v>
      </c>
      <c r="C934" t="s">
        <v>17</v>
      </c>
      <c r="D934">
        <v>69</v>
      </c>
      <c r="E934" s="17" t="s">
        <v>6</v>
      </c>
      <c r="F934" s="18">
        <v>45250</v>
      </c>
      <c r="G934">
        <v>225</v>
      </c>
      <c r="H934">
        <v>3.7</v>
      </c>
      <c r="I934">
        <f>IF(MONTH(calls[[#This Row],[Date of Call]])&lt;=6, YEAR(calls[[#This Row],[Date of Call]]), YEAR(calls[[#This Row],[Date of Call]])+1)</f>
        <v>2024</v>
      </c>
      <c r="J934" t="str">
        <f>TEXT(calls[[#This Row],[Date of Call]],"DDDD")</f>
        <v>Monday</v>
      </c>
      <c r="K934" t="str" cm="1">
        <f t="array" ref="K9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4">
        <f>ROUND(calls[[#This Row],[Satisfaction Rating]],0)</f>
        <v>4</v>
      </c>
    </row>
    <row r="935" spans="2:12">
      <c r="B935" t="s">
        <v>957</v>
      </c>
      <c r="C935" t="s">
        <v>8</v>
      </c>
      <c r="D935">
        <v>26</v>
      </c>
      <c r="E935" s="17" t="s">
        <v>9</v>
      </c>
      <c r="F935" s="18">
        <v>45251</v>
      </c>
      <c r="G935">
        <v>74</v>
      </c>
      <c r="H935">
        <v>4.0999999999999996</v>
      </c>
      <c r="I935">
        <f>IF(MONTH(calls[[#This Row],[Date of Call]])&lt;=6, YEAR(calls[[#This Row],[Date of Call]]), YEAR(calls[[#This Row],[Date of Call]])+1)</f>
        <v>2024</v>
      </c>
      <c r="J935" t="str">
        <f>TEXT(calls[[#This Row],[Date of Call]],"DDDD")</f>
        <v>Tuesday</v>
      </c>
      <c r="K935" t="str" cm="1">
        <f t="array" ref="K93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35">
        <f>ROUND(calls[[#This Row],[Satisfaction Rating]],0)</f>
        <v>4</v>
      </c>
    </row>
    <row r="936" spans="2:12">
      <c r="B936" t="s">
        <v>958</v>
      </c>
      <c r="C936" t="s">
        <v>21</v>
      </c>
      <c r="D936">
        <v>158</v>
      </c>
      <c r="E936" s="17" t="s">
        <v>6</v>
      </c>
      <c r="F936" s="18">
        <v>45251</v>
      </c>
      <c r="G936">
        <v>36</v>
      </c>
      <c r="H936">
        <v>3</v>
      </c>
      <c r="I936">
        <f>IF(MONTH(calls[[#This Row],[Date of Call]])&lt;=6, YEAR(calls[[#This Row],[Date of Call]]), YEAR(calls[[#This Row],[Date of Call]])+1)</f>
        <v>2024</v>
      </c>
      <c r="J936" t="str">
        <f>TEXT(calls[[#This Row],[Date of Call]],"DDDD")</f>
        <v>Tuesday</v>
      </c>
      <c r="K936" t="str" cm="1">
        <f t="array" ref="K93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36">
        <f>ROUND(calls[[#This Row],[Satisfaction Rating]],0)</f>
        <v>3</v>
      </c>
    </row>
    <row r="937" spans="2:12">
      <c r="B937" t="s">
        <v>959</v>
      </c>
      <c r="C937" t="s">
        <v>15</v>
      </c>
      <c r="D937">
        <v>99</v>
      </c>
      <c r="E937" s="17" t="s">
        <v>6</v>
      </c>
      <c r="F937" s="18">
        <v>45253</v>
      </c>
      <c r="G937">
        <v>116</v>
      </c>
      <c r="H937">
        <v>3.9</v>
      </c>
      <c r="I937">
        <f>IF(MONTH(calls[[#This Row],[Date of Call]])&lt;=6, YEAR(calls[[#This Row],[Date of Call]]), YEAR(calls[[#This Row],[Date of Call]])+1)</f>
        <v>2024</v>
      </c>
      <c r="J937" t="str">
        <f>TEXT(calls[[#This Row],[Date of Call]],"DDDD")</f>
        <v>Thursday</v>
      </c>
      <c r="K937" t="str" cm="1">
        <f t="array" ref="K93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7">
        <f>ROUND(calls[[#This Row],[Satisfaction Rating]],0)</f>
        <v>4</v>
      </c>
    </row>
    <row r="938" spans="2:12">
      <c r="B938" t="s">
        <v>960</v>
      </c>
      <c r="C938" t="s">
        <v>21</v>
      </c>
      <c r="D938">
        <v>78</v>
      </c>
      <c r="E938" s="17" t="s">
        <v>11</v>
      </c>
      <c r="F938" s="18">
        <v>45253</v>
      </c>
      <c r="G938">
        <v>140</v>
      </c>
      <c r="H938">
        <v>4</v>
      </c>
      <c r="I938">
        <f>IF(MONTH(calls[[#This Row],[Date of Call]])&lt;=6, YEAR(calls[[#This Row],[Date of Call]]), YEAR(calls[[#This Row],[Date of Call]])+1)</f>
        <v>2024</v>
      </c>
      <c r="J938" t="str">
        <f>TEXT(calls[[#This Row],[Date of Call]],"DDDD")</f>
        <v>Thursday</v>
      </c>
      <c r="K938" t="str" cm="1">
        <f t="array" ref="K9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8">
        <f>ROUND(calls[[#This Row],[Satisfaction Rating]],0)</f>
        <v>4</v>
      </c>
    </row>
    <row r="939" spans="2:12">
      <c r="B939" t="s">
        <v>961</v>
      </c>
      <c r="C939" t="s">
        <v>21</v>
      </c>
      <c r="D939">
        <v>102</v>
      </c>
      <c r="E939" s="17" t="s">
        <v>9</v>
      </c>
      <c r="F939" s="18">
        <v>45254</v>
      </c>
      <c r="G939">
        <v>104</v>
      </c>
      <c r="H939">
        <v>4.5</v>
      </c>
      <c r="I939">
        <f>IF(MONTH(calls[[#This Row],[Date of Call]])&lt;=6, YEAR(calls[[#This Row],[Date of Call]]), YEAR(calls[[#This Row],[Date of Call]])+1)</f>
        <v>2024</v>
      </c>
      <c r="J939" t="str">
        <f>TEXT(calls[[#This Row],[Date of Call]],"DDDD")</f>
        <v>Friday</v>
      </c>
      <c r="K939" t="str" cm="1">
        <f t="array" ref="K9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9">
        <f>ROUND(calls[[#This Row],[Satisfaction Rating]],0)</f>
        <v>5</v>
      </c>
    </row>
    <row r="940" spans="2:12">
      <c r="B940" t="s">
        <v>962</v>
      </c>
      <c r="C940" t="s">
        <v>15</v>
      </c>
      <c r="D940">
        <v>158</v>
      </c>
      <c r="E940" s="17" t="s">
        <v>13</v>
      </c>
      <c r="F940" s="18">
        <v>45254</v>
      </c>
      <c r="G940">
        <v>148</v>
      </c>
      <c r="H940">
        <v>4</v>
      </c>
      <c r="I940">
        <f>IF(MONTH(calls[[#This Row],[Date of Call]])&lt;=6, YEAR(calls[[#This Row],[Date of Call]]), YEAR(calls[[#This Row],[Date of Call]])+1)</f>
        <v>2024</v>
      </c>
      <c r="J940" t="str">
        <f>TEXT(calls[[#This Row],[Date of Call]],"DDDD")</f>
        <v>Friday</v>
      </c>
      <c r="K940" t="str" cm="1">
        <f t="array" ref="K94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40">
        <f>ROUND(calls[[#This Row],[Satisfaction Rating]],0)</f>
        <v>4</v>
      </c>
    </row>
    <row r="941" spans="2:12">
      <c r="B941" t="s">
        <v>963</v>
      </c>
      <c r="C941" t="s">
        <v>24</v>
      </c>
      <c r="D941">
        <v>56</v>
      </c>
      <c r="E941" s="17" t="s">
        <v>6</v>
      </c>
      <c r="F941" s="18">
        <v>45254</v>
      </c>
      <c r="G941">
        <v>205</v>
      </c>
      <c r="H941">
        <v>4.3</v>
      </c>
      <c r="I941">
        <f>IF(MONTH(calls[[#This Row],[Date of Call]])&lt;=6, YEAR(calls[[#This Row],[Date of Call]]), YEAR(calls[[#This Row],[Date of Call]])+1)</f>
        <v>2024</v>
      </c>
      <c r="J941" t="str">
        <f>TEXT(calls[[#This Row],[Date of Call]],"DDDD")</f>
        <v>Friday</v>
      </c>
      <c r="K941" t="str" cm="1">
        <f t="array" ref="K94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41">
        <f>ROUND(calls[[#This Row],[Satisfaction Rating]],0)</f>
        <v>4</v>
      </c>
    </row>
    <row r="942" spans="2:12">
      <c r="B942" t="s">
        <v>964</v>
      </c>
      <c r="C942" t="s">
        <v>12</v>
      </c>
      <c r="D942">
        <v>17</v>
      </c>
      <c r="E942" s="17" t="s">
        <v>10</v>
      </c>
      <c r="F942" s="18">
        <v>45254</v>
      </c>
      <c r="G942">
        <v>210</v>
      </c>
      <c r="H942">
        <v>4.8</v>
      </c>
      <c r="I942">
        <f>IF(MONTH(calls[[#This Row],[Date of Call]])&lt;=6, YEAR(calls[[#This Row],[Date of Call]]), YEAR(calls[[#This Row],[Date of Call]])+1)</f>
        <v>2024</v>
      </c>
      <c r="J942" t="str">
        <f>TEXT(calls[[#This Row],[Date of Call]],"DDDD")</f>
        <v>Friday</v>
      </c>
      <c r="K942" t="str" cm="1">
        <f t="array" ref="K94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42">
        <f>ROUND(calls[[#This Row],[Satisfaction Rating]],0)</f>
        <v>5</v>
      </c>
    </row>
    <row r="943" spans="2:12">
      <c r="B943" t="s">
        <v>965</v>
      </c>
      <c r="C943" t="s">
        <v>8</v>
      </c>
      <c r="D943">
        <v>104</v>
      </c>
      <c r="E943" s="17" t="s">
        <v>13</v>
      </c>
      <c r="F943" s="18">
        <v>45256</v>
      </c>
      <c r="G943">
        <v>41</v>
      </c>
      <c r="H943">
        <v>4.7</v>
      </c>
      <c r="I943">
        <f>IF(MONTH(calls[[#This Row],[Date of Call]])&lt;=6, YEAR(calls[[#This Row],[Date of Call]]), YEAR(calls[[#This Row],[Date of Call]])+1)</f>
        <v>2024</v>
      </c>
      <c r="J943" t="str">
        <f>TEXT(calls[[#This Row],[Date of Call]],"DDDD")</f>
        <v>Sunday</v>
      </c>
      <c r="K943" t="str" cm="1">
        <f t="array" ref="K9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3">
        <f>ROUND(calls[[#This Row],[Satisfaction Rating]],0)</f>
        <v>5</v>
      </c>
    </row>
    <row r="944" spans="2:12">
      <c r="B944" t="s">
        <v>966</v>
      </c>
      <c r="C944" t="s">
        <v>19</v>
      </c>
      <c r="D944">
        <v>96</v>
      </c>
      <c r="E944" s="17" t="s">
        <v>11</v>
      </c>
      <c r="F944" s="18">
        <v>45256</v>
      </c>
      <c r="G944">
        <v>136</v>
      </c>
      <c r="H944">
        <v>5</v>
      </c>
      <c r="I944">
        <f>IF(MONTH(calls[[#This Row],[Date of Call]])&lt;=6, YEAR(calls[[#This Row],[Date of Call]]), YEAR(calls[[#This Row],[Date of Call]])+1)</f>
        <v>2024</v>
      </c>
      <c r="J944" t="str">
        <f>TEXT(calls[[#This Row],[Date of Call]],"DDDD")</f>
        <v>Sunday</v>
      </c>
      <c r="K944" t="str" cm="1">
        <f t="array" ref="K9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4">
        <f>ROUND(calls[[#This Row],[Satisfaction Rating]],0)</f>
        <v>5</v>
      </c>
    </row>
    <row r="945" spans="2:12">
      <c r="B945" t="s">
        <v>967</v>
      </c>
      <c r="C945" t="s">
        <v>22</v>
      </c>
      <c r="D945">
        <v>83</v>
      </c>
      <c r="E945" s="17" t="s">
        <v>9</v>
      </c>
      <c r="F945" s="18">
        <v>45257</v>
      </c>
      <c r="G945">
        <v>126</v>
      </c>
      <c r="H945">
        <v>1.5</v>
      </c>
      <c r="I945">
        <f>IF(MONTH(calls[[#This Row],[Date of Call]])&lt;=6, YEAR(calls[[#This Row],[Date of Call]]), YEAR(calls[[#This Row],[Date of Call]])+1)</f>
        <v>2024</v>
      </c>
      <c r="J945" t="str">
        <f>TEXT(calls[[#This Row],[Date of Call]],"DDDD")</f>
        <v>Monday</v>
      </c>
      <c r="K945" t="str" cm="1">
        <f t="array" ref="K9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5">
        <f>ROUND(calls[[#This Row],[Satisfaction Rating]],0)</f>
        <v>2</v>
      </c>
    </row>
    <row r="946" spans="2:12">
      <c r="B946" t="s">
        <v>968</v>
      </c>
      <c r="C946" t="s">
        <v>23</v>
      </c>
      <c r="D946">
        <v>80</v>
      </c>
      <c r="E946" s="17" t="s">
        <v>10</v>
      </c>
      <c r="F946" s="18">
        <v>45258</v>
      </c>
      <c r="G946">
        <v>148</v>
      </c>
      <c r="H946">
        <v>4.0999999999999996</v>
      </c>
      <c r="I946">
        <f>IF(MONTH(calls[[#This Row],[Date of Call]])&lt;=6, YEAR(calls[[#This Row],[Date of Call]]), YEAR(calls[[#This Row],[Date of Call]])+1)</f>
        <v>2024</v>
      </c>
      <c r="J946" t="str">
        <f>TEXT(calls[[#This Row],[Date of Call]],"DDDD")</f>
        <v>Tuesday</v>
      </c>
      <c r="K946" t="str" cm="1">
        <f t="array" ref="K9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6">
        <f>ROUND(calls[[#This Row],[Satisfaction Rating]],0)</f>
        <v>4</v>
      </c>
    </row>
    <row r="947" spans="2:12">
      <c r="B947" t="s">
        <v>969</v>
      </c>
      <c r="C947" t="s">
        <v>22</v>
      </c>
      <c r="D947">
        <v>152</v>
      </c>
      <c r="E947" s="17" t="s">
        <v>9</v>
      </c>
      <c r="F947" s="18">
        <v>45258</v>
      </c>
      <c r="G947">
        <v>125</v>
      </c>
      <c r="H947">
        <v>3.9</v>
      </c>
      <c r="I947">
        <f>IF(MONTH(calls[[#This Row],[Date of Call]])&lt;=6, YEAR(calls[[#This Row],[Date of Call]]), YEAR(calls[[#This Row],[Date of Call]])+1)</f>
        <v>2024</v>
      </c>
      <c r="J947" t="str">
        <f>TEXT(calls[[#This Row],[Date of Call]],"DDDD")</f>
        <v>Tuesday</v>
      </c>
      <c r="K947" t="str" cm="1">
        <f t="array" ref="K9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47">
        <f>ROUND(calls[[#This Row],[Satisfaction Rating]],0)</f>
        <v>4</v>
      </c>
    </row>
    <row r="948" spans="2:12">
      <c r="B948" t="s">
        <v>970</v>
      </c>
      <c r="C948" t="s">
        <v>18</v>
      </c>
      <c r="D948">
        <v>34</v>
      </c>
      <c r="E948" s="17" t="s">
        <v>11</v>
      </c>
      <c r="F948" s="18">
        <v>45258</v>
      </c>
      <c r="G948">
        <v>25</v>
      </c>
      <c r="H948">
        <v>4.0999999999999996</v>
      </c>
      <c r="I948">
        <f>IF(MONTH(calls[[#This Row],[Date of Call]])&lt;=6, YEAR(calls[[#This Row],[Date of Call]]), YEAR(calls[[#This Row],[Date of Call]])+1)</f>
        <v>2024</v>
      </c>
      <c r="J948" t="str">
        <f>TEXT(calls[[#This Row],[Date of Call]],"DDDD")</f>
        <v>Tuesday</v>
      </c>
      <c r="K948" t="str" cm="1">
        <f t="array" ref="K94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48">
        <f>ROUND(calls[[#This Row],[Satisfaction Rating]],0)</f>
        <v>4</v>
      </c>
    </row>
    <row r="949" spans="2:12">
      <c r="B949" t="s">
        <v>971</v>
      </c>
      <c r="C949" t="s">
        <v>14</v>
      </c>
      <c r="D949">
        <v>2</v>
      </c>
      <c r="E949" s="17" t="s">
        <v>6</v>
      </c>
      <c r="F949" s="18">
        <v>45259</v>
      </c>
      <c r="G949">
        <v>62</v>
      </c>
      <c r="H949">
        <v>2.8</v>
      </c>
      <c r="I949">
        <f>IF(MONTH(calls[[#This Row],[Date of Call]])&lt;=6, YEAR(calls[[#This Row],[Date of Call]]), YEAR(calls[[#This Row],[Date of Call]])+1)</f>
        <v>2024</v>
      </c>
      <c r="J949" t="str">
        <f>TEXT(calls[[#This Row],[Date of Call]],"DDDD")</f>
        <v>Wednesday</v>
      </c>
      <c r="K949" t="str" cm="1">
        <f t="array" ref="K949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949">
        <f>ROUND(calls[[#This Row],[Satisfaction Rating]],0)</f>
        <v>3</v>
      </c>
    </row>
    <row r="950" spans="2:12">
      <c r="B950" t="s">
        <v>972</v>
      </c>
      <c r="C950" t="s">
        <v>23</v>
      </c>
      <c r="D950">
        <v>140</v>
      </c>
      <c r="E950" s="17" t="s">
        <v>11</v>
      </c>
      <c r="F950" s="18">
        <v>45260</v>
      </c>
      <c r="G950">
        <v>90</v>
      </c>
      <c r="H950">
        <v>4.5999999999999996</v>
      </c>
      <c r="I950">
        <f>IF(MONTH(calls[[#This Row],[Date of Call]])&lt;=6, YEAR(calls[[#This Row],[Date of Call]]), YEAR(calls[[#This Row],[Date of Call]])+1)</f>
        <v>2024</v>
      </c>
      <c r="J950" t="str">
        <f>TEXT(calls[[#This Row],[Date of Call]],"DDDD")</f>
        <v>Thursday</v>
      </c>
      <c r="K950" t="str" cm="1">
        <f t="array" ref="K9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0">
        <f>ROUND(calls[[#This Row],[Satisfaction Rating]],0)</f>
        <v>5</v>
      </c>
    </row>
    <row r="951" spans="2:12">
      <c r="B951" t="s">
        <v>973</v>
      </c>
      <c r="C951" t="s">
        <v>12</v>
      </c>
      <c r="D951">
        <v>126</v>
      </c>
      <c r="E951" s="17" t="s">
        <v>13</v>
      </c>
      <c r="F951" s="18">
        <v>45261</v>
      </c>
      <c r="G951">
        <v>33</v>
      </c>
      <c r="H951">
        <v>4.8</v>
      </c>
      <c r="I951">
        <f>IF(MONTH(calls[[#This Row],[Date of Call]])&lt;=6, YEAR(calls[[#This Row],[Date of Call]]), YEAR(calls[[#This Row],[Date of Call]])+1)</f>
        <v>2024</v>
      </c>
      <c r="J951" t="str">
        <f>TEXT(calls[[#This Row],[Date of Call]],"DDDD")</f>
        <v>Friday</v>
      </c>
      <c r="K951" t="str" cm="1">
        <f t="array" ref="K95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1">
        <f>ROUND(calls[[#This Row],[Satisfaction Rating]],0)</f>
        <v>5</v>
      </c>
    </row>
    <row r="952" spans="2:12">
      <c r="B952" t="s">
        <v>974</v>
      </c>
      <c r="C952" t="s">
        <v>21</v>
      </c>
      <c r="D952">
        <v>79</v>
      </c>
      <c r="E952" s="17" t="s">
        <v>6</v>
      </c>
      <c r="F952" s="18">
        <v>45261</v>
      </c>
      <c r="G952">
        <v>115</v>
      </c>
      <c r="H952">
        <v>2.2999999999999998</v>
      </c>
      <c r="I952">
        <f>IF(MONTH(calls[[#This Row],[Date of Call]])&lt;=6, YEAR(calls[[#This Row],[Date of Call]]), YEAR(calls[[#This Row],[Date of Call]])+1)</f>
        <v>2024</v>
      </c>
      <c r="J952" t="str">
        <f>TEXT(calls[[#This Row],[Date of Call]],"DDDD")</f>
        <v>Friday</v>
      </c>
      <c r="K952" t="str" cm="1">
        <f t="array" ref="K9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2">
        <f>ROUND(calls[[#This Row],[Satisfaction Rating]],0)</f>
        <v>2</v>
      </c>
    </row>
    <row r="953" spans="2:12">
      <c r="B953" t="s">
        <v>975</v>
      </c>
      <c r="C953" t="s">
        <v>12</v>
      </c>
      <c r="D953">
        <v>133</v>
      </c>
      <c r="E953" s="17" t="s">
        <v>13</v>
      </c>
      <c r="F953" s="18">
        <v>45261</v>
      </c>
      <c r="G953">
        <v>45</v>
      </c>
      <c r="H953">
        <v>2.6</v>
      </c>
      <c r="I953">
        <f>IF(MONTH(calls[[#This Row],[Date of Call]])&lt;=6, YEAR(calls[[#This Row],[Date of Call]]), YEAR(calls[[#This Row],[Date of Call]])+1)</f>
        <v>2024</v>
      </c>
      <c r="J953" t="str">
        <f>TEXT(calls[[#This Row],[Date of Call]],"DDDD")</f>
        <v>Friday</v>
      </c>
      <c r="K953" t="str" cm="1">
        <f t="array" ref="K9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3">
        <f>ROUND(calls[[#This Row],[Satisfaction Rating]],0)</f>
        <v>3</v>
      </c>
    </row>
    <row r="954" spans="2:12">
      <c r="B954" t="s">
        <v>976</v>
      </c>
      <c r="C954" t="s">
        <v>18</v>
      </c>
      <c r="D954">
        <v>97</v>
      </c>
      <c r="E954" s="17" t="s">
        <v>10</v>
      </c>
      <c r="F954" s="18">
        <v>45261</v>
      </c>
      <c r="G954">
        <v>114</v>
      </c>
      <c r="H954">
        <v>4.8</v>
      </c>
      <c r="I954">
        <f>IF(MONTH(calls[[#This Row],[Date of Call]])&lt;=6, YEAR(calls[[#This Row],[Date of Call]]), YEAR(calls[[#This Row],[Date of Call]])+1)</f>
        <v>2024</v>
      </c>
      <c r="J954" t="str">
        <f>TEXT(calls[[#This Row],[Date of Call]],"DDDD")</f>
        <v>Friday</v>
      </c>
      <c r="K954" t="str" cm="1">
        <f t="array" ref="K95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4">
        <f>ROUND(calls[[#This Row],[Satisfaction Rating]],0)</f>
        <v>5</v>
      </c>
    </row>
    <row r="955" spans="2:12">
      <c r="B955" t="s">
        <v>977</v>
      </c>
      <c r="C955" t="s">
        <v>21</v>
      </c>
      <c r="D955">
        <v>102</v>
      </c>
      <c r="E955" s="17" t="s">
        <v>9</v>
      </c>
      <c r="F955" s="18">
        <v>45262</v>
      </c>
      <c r="G955">
        <v>72</v>
      </c>
      <c r="H955">
        <v>3.7</v>
      </c>
      <c r="I955">
        <f>IF(MONTH(calls[[#This Row],[Date of Call]])&lt;=6, YEAR(calls[[#This Row],[Date of Call]]), YEAR(calls[[#This Row],[Date of Call]])+1)</f>
        <v>2024</v>
      </c>
      <c r="J955" t="str">
        <f>TEXT(calls[[#This Row],[Date of Call]],"DDDD")</f>
        <v>Saturday</v>
      </c>
      <c r="K955" t="str" cm="1">
        <f t="array" ref="K9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5">
        <f>ROUND(calls[[#This Row],[Satisfaction Rating]],0)</f>
        <v>4</v>
      </c>
    </row>
    <row r="956" spans="2:12">
      <c r="B956" t="s">
        <v>978</v>
      </c>
      <c r="C956" t="s">
        <v>7</v>
      </c>
      <c r="D956">
        <v>62</v>
      </c>
      <c r="E956" s="17" t="s">
        <v>10</v>
      </c>
      <c r="F956" s="18">
        <v>45262</v>
      </c>
      <c r="G956">
        <v>205</v>
      </c>
      <c r="H956">
        <v>4.2</v>
      </c>
      <c r="I956">
        <f>IF(MONTH(calls[[#This Row],[Date of Call]])&lt;=6, YEAR(calls[[#This Row],[Date of Call]]), YEAR(calls[[#This Row],[Date of Call]])+1)</f>
        <v>2024</v>
      </c>
      <c r="J956" t="str">
        <f>TEXT(calls[[#This Row],[Date of Call]],"DDDD")</f>
        <v>Saturday</v>
      </c>
      <c r="K956" t="str" cm="1">
        <f t="array" ref="K9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6">
        <f>ROUND(calls[[#This Row],[Satisfaction Rating]],0)</f>
        <v>4</v>
      </c>
    </row>
    <row r="957" spans="2:12">
      <c r="B957" t="s">
        <v>979</v>
      </c>
      <c r="C957" t="s">
        <v>12</v>
      </c>
      <c r="D957">
        <v>149</v>
      </c>
      <c r="E957" s="17" t="s">
        <v>9</v>
      </c>
      <c r="F957" s="18">
        <v>45263</v>
      </c>
      <c r="G957">
        <v>42</v>
      </c>
      <c r="H957">
        <v>3.3</v>
      </c>
      <c r="I957">
        <f>IF(MONTH(calls[[#This Row],[Date of Call]])&lt;=6, YEAR(calls[[#This Row],[Date of Call]]), YEAR(calls[[#This Row],[Date of Call]])+1)</f>
        <v>2024</v>
      </c>
      <c r="J957" t="str">
        <f>TEXT(calls[[#This Row],[Date of Call]],"DDDD")</f>
        <v>Sunday</v>
      </c>
      <c r="K957" t="str" cm="1">
        <f t="array" ref="K9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7">
        <f>ROUND(calls[[#This Row],[Satisfaction Rating]],0)</f>
        <v>3</v>
      </c>
    </row>
    <row r="958" spans="2:12">
      <c r="B958" t="s">
        <v>980</v>
      </c>
      <c r="C958" t="s">
        <v>14</v>
      </c>
      <c r="D958">
        <v>133</v>
      </c>
      <c r="E958" s="17" t="s">
        <v>10</v>
      </c>
      <c r="F958" s="18">
        <v>45263</v>
      </c>
      <c r="G958">
        <v>96</v>
      </c>
      <c r="H958">
        <v>4.3</v>
      </c>
      <c r="I958">
        <f>IF(MONTH(calls[[#This Row],[Date of Call]])&lt;=6, YEAR(calls[[#This Row],[Date of Call]]), YEAR(calls[[#This Row],[Date of Call]])+1)</f>
        <v>2024</v>
      </c>
      <c r="J958" t="str">
        <f>TEXT(calls[[#This Row],[Date of Call]],"DDDD")</f>
        <v>Sunday</v>
      </c>
      <c r="K958" t="str" cm="1">
        <f t="array" ref="K95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8">
        <f>ROUND(calls[[#This Row],[Satisfaction Rating]],0)</f>
        <v>4</v>
      </c>
    </row>
    <row r="959" spans="2:12">
      <c r="B959" t="s">
        <v>981</v>
      </c>
      <c r="C959" t="s">
        <v>21</v>
      </c>
      <c r="D959">
        <v>51</v>
      </c>
      <c r="E959" s="17" t="s">
        <v>6</v>
      </c>
      <c r="F959" s="18">
        <v>45263</v>
      </c>
      <c r="G959">
        <v>64</v>
      </c>
      <c r="H959">
        <v>3.7</v>
      </c>
      <c r="I959">
        <f>IF(MONTH(calls[[#This Row],[Date of Call]])&lt;=6, YEAR(calls[[#This Row],[Date of Call]]), YEAR(calls[[#This Row],[Date of Call]])+1)</f>
        <v>2024</v>
      </c>
      <c r="J959" t="str">
        <f>TEXT(calls[[#This Row],[Date of Call]],"DDDD")</f>
        <v>Sunday</v>
      </c>
      <c r="K959" t="str" cm="1">
        <f t="array" ref="K9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59">
        <f>ROUND(calls[[#This Row],[Satisfaction Rating]],0)</f>
        <v>4</v>
      </c>
    </row>
    <row r="960" spans="2:12">
      <c r="B960" t="s">
        <v>982</v>
      </c>
      <c r="C960" t="s">
        <v>7</v>
      </c>
      <c r="D960">
        <v>110</v>
      </c>
      <c r="E960" s="17" t="s">
        <v>10</v>
      </c>
      <c r="F960" s="18">
        <v>45264</v>
      </c>
      <c r="G960">
        <v>72</v>
      </c>
      <c r="H960">
        <v>3.7</v>
      </c>
      <c r="I960">
        <f>IF(MONTH(calls[[#This Row],[Date of Call]])&lt;=6, YEAR(calls[[#This Row],[Date of Call]]), YEAR(calls[[#This Row],[Date of Call]])+1)</f>
        <v>2024</v>
      </c>
      <c r="J960" t="str">
        <f>TEXT(calls[[#This Row],[Date of Call]],"DDDD")</f>
        <v>Monday</v>
      </c>
      <c r="K960" t="str" cm="1">
        <f t="array" ref="K9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0">
        <f>ROUND(calls[[#This Row],[Satisfaction Rating]],0)</f>
        <v>4</v>
      </c>
    </row>
    <row r="961" spans="2:12">
      <c r="B961" t="s">
        <v>983</v>
      </c>
      <c r="C961" t="s">
        <v>18</v>
      </c>
      <c r="D961">
        <v>38</v>
      </c>
      <c r="E961" s="17" t="s">
        <v>13</v>
      </c>
      <c r="F961" s="18">
        <v>45265</v>
      </c>
      <c r="G961">
        <v>27</v>
      </c>
      <c r="H961">
        <v>3.1</v>
      </c>
      <c r="I961">
        <f>IF(MONTH(calls[[#This Row],[Date of Call]])&lt;=6, YEAR(calls[[#This Row],[Date of Call]]), YEAR(calls[[#This Row],[Date of Call]])+1)</f>
        <v>2024</v>
      </c>
      <c r="J961" t="str">
        <f>TEXT(calls[[#This Row],[Date of Call]],"DDDD")</f>
        <v>Tuesday</v>
      </c>
      <c r="K961" t="str" cm="1">
        <f t="array" ref="K96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61">
        <f>ROUND(calls[[#This Row],[Satisfaction Rating]],0)</f>
        <v>3</v>
      </c>
    </row>
    <row r="962" spans="2:12">
      <c r="B962" t="s">
        <v>984</v>
      </c>
      <c r="C962" t="s">
        <v>14</v>
      </c>
      <c r="D962">
        <v>78</v>
      </c>
      <c r="E962" s="17" t="s">
        <v>13</v>
      </c>
      <c r="F962" s="18">
        <v>45267</v>
      </c>
      <c r="G962">
        <v>200</v>
      </c>
      <c r="H962">
        <v>2.4</v>
      </c>
      <c r="I962">
        <f>IF(MONTH(calls[[#This Row],[Date of Call]])&lt;=6, YEAR(calls[[#This Row],[Date of Call]]), YEAR(calls[[#This Row],[Date of Call]])+1)</f>
        <v>2024</v>
      </c>
      <c r="J962" t="str">
        <f>TEXT(calls[[#This Row],[Date of Call]],"DDDD")</f>
        <v>Thursday</v>
      </c>
      <c r="K962" t="str" cm="1">
        <f t="array" ref="K9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2">
        <f>ROUND(calls[[#This Row],[Satisfaction Rating]],0)</f>
        <v>2</v>
      </c>
    </row>
    <row r="963" spans="2:12">
      <c r="B963" t="s">
        <v>985</v>
      </c>
      <c r="C963" t="s">
        <v>18</v>
      </c>
      <c r="D963">
        <v>25</v>
      </c>
      <c r="E963" s="17" t="s">
        <v>9</v>
      </c>
      <c r="F963" s="18">
        <v>45268</v>
      </c>
      <c r="G963">
        <v>93</v>
      </c>
      <c r="H963">
        <v>3.5</v>
      </c>
      <c r="I963">
        <f>IF(MONTH(calls[[#This Row],[Date of Call]])&lt;=6, YEAR(calls[[#This Row],[Date of Call]]), YEAR(calls[[#This Row],[Date of Call]])+1)</f>
        <v>2024</v>
      </c>
      <c r="J963" t="str">
        <f>TEXT(calls[[#This Row],[Date of Call]],"DDDD")</f>
        <v>Friday</v>
      </c>
      <c r="K963" t="str" cm="1">
        <f t="array" ref="K96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63">
        <f>ROUND(calls[[#This Row],[Satisfaction Rating]],0)</f>
        <v>4</v>
      </c>
    </row>
    <row r="964" spans="2:12">
      <c r="B964" t="s">
        <v>986</v>
      </c>
      <c r="C964" t="s">
        <v>16</v>
      </c>
      <c r="D964">
        <v>50</v>
      </c>
      <c r="E964" s="17" t="s">
        <v>6</v>
      </c>
      <c r="F964" s="18">
        <v>45268</v>
      </c>
      <c r="G964">
        <v>54</v>
      </c>
      <c r="H964">
        <v>4.3</v>
      </c>
      <c r="I964">
        <f>IF(MONTH(calls[[#This Row],[Date of Call]])&lt;=6, YEAR(calls[[#This Row],[Date of Call]]), YEAR(calls[[#This Row],[Date of Call]])+1)</f>
        <v>2024</v>
      </c>
      <c r="J964" t="str">
        <f>TEXT(calls[[#This Row],[Date of Call]],"DDDD")</f>
        <v>Friday</v>
      </c>
      <c r="K964" t="str" cm="1">
        <f t="array" ref="K96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64">
        <f>ROUND(calls[[#This Row],[Satisfaction Rating]],0)</f>
        <v>4</v>
      </c>
    </row>
    <row r="965" spans="2:12">
      <c r="B965" t="s">
        <v>987</v>
      </c>
      <c r="C965" t="s">
        <v>18</v>
      </c>
      <c r="D965">
        <v>103</v>
      </c>
      <c r="E965" s="17" t="s">
        <v>9</v>
      </c>
      <c r="F965" s="18">
        <v>45269</v>
      </c>
      <c r="G965">
        <v>72</v>
      </c>
      <c r="H965">
        <v>3.4</v>
      </c>
      <c r="I965">
        <f>IF(MONTH(calls[[#This Row],[Date of Call]])&lt;=6, YEAR(calls[[#This Row],[Date of Call]]), YEAR(calls[[#This Row],[Date of Call]])+1)</f>
        <v>2024</v>
      </c>
      <c r="J965" t="str">
        <f>TEXT(calls[[#This Row],[Date of Call]],"DDDD")</f>
        <v>Saturday</v>
      </c>
      <c r="K965" t="str" cm="1">
        <f t="array" ref="K96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5">
        <f>ROUND(calls[[#This Row],[Satisfaction Rating]],0)</f>
        <v>3</v>
      </c>
    </row>
    <row r="966" spans="2:12">
      <c r="B966" t="s">
        <v>988</v>
      </c>
      <c r="C966" t="s">
        <v>22</v>
      </c>
      <c r="D966">
        <v>63</v>
      </c>
      <c r="E966" s="17" t="s">
        <v>11</v>
      </c>
      <c r="F966" s="18">
        <v>45269</v>
      </c>
      <c r="G966">
        <v>82</v>
      </c>
      <c r="H966">
        <v>3.7</v>
      </c>
      <c r="I966">
        <f>IF(MONTH(calls[[#This Row],[Date of Call]])&lt;=6, YEAR(calls[[#This Row],[Date of Call]]), YEAR(calls[[#This Row],[Date of Call]])+1)</f>
        <v>2024</v>
      </c>
      <c r="J966" t="str">
        <f>TEXT(calls[[#This Row],[Date of Call]],"DDDD")</f>
        <v>Saturday</v>
      </c>
      <c r="K966" t="str" cm="1">
        <f t="array" ref="K9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6">
        <f>ROUND(calls[[#This Row],[Satisfaction Rating]],0)</f>
        <v>4</v>
      </c>
    </row>
    <row r="967" spans="2:12">
      <c r="B967" t="s">
        <v>989</v>
      </c>
      <c r="C967" t="s">
        <v>16</v>
      </c>
      <c r="D967">
        <v>96</v>
      </c>
      <c r="E967" s="17" t="s">
        <v>6</v>
      </c>
      <c r="F967" s="18">
        <v>45273</v>
      </c>
      <c r="G967">
        <v>164</v>
      </c>
      <c r="H967">
        <v>4.8</v>
      </c>
      <c r="I967">
        <f>IF(MONTH(calls[[#This Row],[Date of Call]])&lt;=6, YEAR(calls[[#This Row],[Date of Call]]), YEAR(calls[[#This Row],[Date of Call]])+1)</f>
        <v>2024</v>
      </c>
      <c r="J967" t="str">
        <f>TEXT(calls[[#This Row],[Date of Call]],"DDDD")</f>
        <v>Wednesday</v>
      </c>
      <c r="K967" t="str" cm="1">
        <f t="array" ref="K9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7">
        <f>ROUND(calls[[#This Row],[Satisfaction Rating]],0)</f>
        <v>5</v>
      </c>
    </row>
    <row r="968" spans="2:12">
      <c r="B968" t="s">
        <v>990</v>
      </c>
      <c r="C968" t="s">
        <v>23</v>
      </c>
      <c r="D968">
        <v>94</v>
      </c>
      <c r="E968" s="17" t="s">
        <v>9</v>
      </c>
      <c r="F968" s="18">
        <v>45273</v>
      </c>
      <c r="G968">
        <v>78</v>
      </c>
      <c r="H968">
        <v>3.3</v>
      </c>
      <c r="I968">
        <f>IF(MONTH(calls[[#This Row],[Date of Call]])&lt;=6, YEAR(calls[[#This Row],[Date of Call]]), YEAR(calls[[#This Row],[Date of Call]])+1)</f>
        <v>2024</v>
      </c>
      <c r="J968" t="str">
        <f>TEXT(calls[[#This Row],[Date of Call]],"DDDD")</f>
        <v>Wednesday</v>
      </c>
      <c r="K968" t="str" cm="1">
        <f t="array" ref="K96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8">
        <f>ROUND(calls[[#This Row],[Satisfaction Rating]],0)</f>
        <v>3</v>
      </c>
    </row>
    <row r="969" spans="2:12">
      <c r="B969" t="s">
        <v>991</v>
      </c>
      <c r="C969" t="s">
        <v>7</v>
      </c>
      <c r="D969">
        <v>46</v>
      </c>
      <c r="E969" s="17" t="s">
        <v>13</v>
      </c>
      <c r="F969" s="18">
        <v>45274</v>
      </c>
      <c r="G969">
        <v>135</v>
      </c>
      <c r="H969">
        <v>4.2</v>
      </c>
      <c r="I969">
        <f>IF(MONTH(calls[[#This Row],[Date of Call]])&lt;=6, YEAR(calls[[#This Row],[Date of Call]]), YEAR(calls[[#This Row],[Date of Call]])+1)</f>
        <v>2024</v>
      </c>
      <c r="J969" t="str">
        <f>TEXT(calls[[#This Row],[Date of Call]],"DDDD")</f>
        <v>Thursday</v>
      </c>
      <c r="K969" t="str" cm="1">
        <f t="array" ref="K96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69">
        <f>ROUND(calls[[#This Row],[Satisfaction Rating]],0)</f>
        <v>4</v>
      </c>
    </row>
    <row r="970" spans="2:12">
      <c r="B970" t="s">
        <v>992</v>
      </c>
      <c r="C970" t="s">
        <v>5</v>
      </c>
      <c r="D970">
        <v>127</v>
      </c>
      <c r="E970" s="17" t="s">
        <v>6</v>
      </c>
      <c r="F970" s="18">
        <v>45275</v>
      </c>
      <c r="G970">
        <v>145</v>
      </c>
      <c r="H970">
        <v>2.6</v>
      </c>
      <c r="I970">
        <f>IF(MONTH(calls[[#This Row],[Date of Call]])&lt;=6, YEAR(calls[[#This Row],[Date of Call]]), YEAR(calls[[#This Row],[Date of Call]])+1)</f>
        <v>2024</v>
      </c>
      <c r="J970" t="str">
        <f>TEXT(calls[[#This Row],[Date of Call]],"DDDD")</f>
        <v>Friday</v>
      </c>
      <c r="K970" t="str" cm="1">
        <f t="array" ref="K97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0">
        <f>ROUND(calls[[#This Row],[Satisfaction Rating]],0)</f>
        <v>3</v>
      </c>
    </row>
    <row r="971" spans="2:12">
      <c r="B971" t="s">
        <v>993</v>
      </c>
      <c r="C971" t="s">
        <v>15</v>
      </c>
      <c r="D971">
        <v>96</v>
      </c>
      <c r="E971" s="17" t="s">
        <v>13</v>
      </c>
      <c r="F971" s="18">
        <v>45275</v>
      </c>
      <c r="G971">
        <v>115</v>
      </c>
      <c r="H971">
        <v>4.9000000000000004</v>
      </c>
      <c r="I971">
        <f>IF(MONTH(calls[[#This Row],[Date of Call]])&lt;=6, YEAR(calls[[#This Row],[Date of Call]]), YEAR(calls[[#This Row],[Date of Call]])+1)</f>
        <v>2024</v>
      </c>
      <c r="J971" t="str">
        <f>TEXT(calls[[#This Row],[Date of Call]],"DDDD")</f>
        <v>Friday</v>
      </c>
      <c r="K971" t="str" cm="1">
        <f t="array" ref="K9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71">
        <f>ROUND(calls[[#This Row],[Satisfaction Rating]],0)</f>
        <v>5</v>
      </c>
    </row>
    <row r="972" spans="2:12">
      <c r="B972" t="s">
        <v>1004</v>
      </c>
      <c r="C972" t="s">
        <v>17</v>
      </c>
      <c r="D972">
        <v>151</v>
      </c>
      <c r="E972" s="17" t="s">
        <v>9</v>
      </c>
      <c r="F972" s="18">
        <v>45275</v>
      </c>
      <c r="G972">
        <v>117</v>
      </c>
      <c r="H972">
        <v>2</v>
      </c>
      <c r="I972">
        <f>IF(MONTH(calls[[#This Row],[Date of Call]])&lt;=6, YEAR(calls[[#This Row],[Date of Call]]), YEAR(calls[[#This Row],[Date of Call]])+1)</f>
        <v>2024</v>
      </c>
      <c r="J972" t="str">
        <f>TEXT(calls[[#This Row],[Date of Call]],"DDDD")</f>
        <v>Friday</v>
      </c>
      <c r="K972" t="str" cm="1">
        <f t="array" ref="K97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2">
        <f>ROUND(calls[[#This Row],[Satisfaction Rating]],0)</f>
        <v>2</v>
      </c>
    </row>
    <row r="973" spans="2:12">
      <c r="B973" t="s">
        <v>1005</v>
      </c>
      <c r="C973" t="s">
        <v>5</v>
      </c>
      <c r="D973">
        <v>158</v>
      </c>
      <c r="E973" s="17" t="s">
        <v>10</v>
      </c>
      <c r="F973" s="18">
        <v>45276</v>
      </c>
      <c r="G973">
        <v>36</v>
      </c>
      <c r="H973">
        <v>4.7</v>
      </c>
      <c r="I973">
        <f>IF(MONTH(calls[[#This Row],[Date of Call]])&lt;=6, YEAR(calls[[#This Row],[Date of Call]]), YEAR(calls[[#This Row],[Date of Call]])+1)</f>
        <v>2024</v>
      </c>
      <c r="J973" t="str">
        <f>TEXT(calls[[#This Row],[Date of Call]],"DDDD")</f>
        <v>Saturday</v>
      </c>
      <c r="K973" t="str" cm="1">
        <f t="array" ref="K9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3">
        <f>ROUND(calls[[#This Row],[Satisfaction Rating]],0)</f>
        <v>5</v>
      </c>
    </row>
    <row r="974" spans="2:12">
      <c r="B974" t="s">
        <v>1006</v>
      </c>
      <c r="C974" t="s">
        <v>23</v>
      </c>
      <c r="D974">
        <v>45</v>
      </c>
      <c r="E974" s="17" t="s">
        <v>10</v>
      </c>
      <c r="F974" s="18">
        <v>45276</v>
      </c>
      <c r="G974">
        <v>84</v>
      </c>
      <c r="H974">
        <v>2.8</v>
      </c>
      <c r="I974">
        <f>IF(MONTH(calls[[#This Row],[Date of Call]])&lt;=6, YEAR(calls[[#This Row],[Date of Call]]), YEAR(calls[[#This Row],[Date of Call]])+1)</f>
        <v>2024</v>
      </c>
      <c r="J974" t="str">
        <f>TEXT(calls[[#This Row],[Date of Call]],"DDDD")</f>
        <v>Saturday</v>
      </c>
      <c r="K974" t="str" cm="1">
        <f t="array" ref="K97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74">
        <f>ROUND(calls[[#This Row],[Satisfaction Rating]],0)</f>
        <v>3</v>
      </c>
    </row>
    <row r="975" spans="2:12">
      <c r="B975" t="s">
        <v>1007</v>
      </c>
      <c r="C975" t="s">
        <v>24</v>
      </c>
      <c r="D975">
        <v>141</v>
      </c>
      <c r="E975" s="17" t="s">
        <v>10</v>
      </c>
      <c r="F975" s="18">
        <v>45276</v>
      </c>
      <c r="G975">
        <v>66</v>
      </c>
      <c r="H975">
        <v>3.2</v>
      </c>
      <c r="I975">
        <f>IF(MONTH(calls[[#This Row],[Date of Call]])&lt;=6, YEAR(calls[[#This Row],[Date of Call]]), YEAR(calls[[#This Row],[Date of Call]])+1)</f>
        <v>2024</v>
      </c>
      <c r="J975" t="str">
        <f>TEXT(calls[[#This Row],[Date of Call]],"DDDD")</f>
        <v>Saturday</v>
      </c>
      <c r="K975" t="str" cm="1">
        <f t="array" ref="K97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5">
        <f>ROUND(calls[[#This Row],[Satisfaction Rating]],0)</f>
        <v>3</v>
      </c>
    </row>
    <row r="976" spans="2:12">
      <c r="B976" t="s">
        <v>1008</v>
      </c>
      <c r="C976" t="s">
        <v>18</v>
      </c>
      <c r="D976">
        <v>147</v>
      </c>
      <c r="E976" s="17" t="s">
        <v>13</v>
      </c>
      <c r="F976" s="18">
        <v>45276</v>
      </c>
      <c r="G976">
        <v>76</v>
      </c>
      <c r="H976">
        <v>4.7</v>
      </c>
      <c r="I976">
        <f>IF(MONTH(calls[[#This Row],[Date of Call]])&lt;=6, YEAR(calls[[#This Row],[Date of Call]]), YEAR(calls[[#This Row],[Date of Call]])+1)</f>
        <v>2024</v>
      </c>
      <c r="J976" t="str">
        <f>TEXT(calls[[#This Row],[Date of Call]],"DDDD")</f>
        <v>Saturday</v>
      </c>
      <c r="K976" t="str" cm="1">
        <f t="array" ref="K97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6">
        <f>ROUND(calls[[#This Row],[Satisfaction Rating]],0)</f>
        <v>5</v>
      </c>
    </row>
    <row r="977" spans="2:12">
      <c r="B977" t="s">
        <v>1009</v>
      </c>
      <c r="C977" t="s">
        <v>19</v>
      </c>
      <c r="D977">
        <v>126</v>
      </c>
      <c r="E977" s="17" t="s">
        <v>13</v>
      </c>
      <c r="F977" s="18">
        <v>45276</v>
      </c>
      <c r="G977">
        <v>185</v>
      </c>
      <c r="H977">
        <v>4.8</v>
      </c>
      <c r="I977">
        <f>IF(MONTH(calls[[#This Row],[Date of Call]])&lt;=6, YEAR(calls[[#This Row],[Date of Call]]), YEAR(calls[[#This Row],[Date of Call]])+1)</f>
        <v>2024</v>
      </c>
      <c r="J977" t="str">
        <f>TEXT(calls[[#This Row],[Date of Call]],"DDDD")</f>
        <v>Saturday</v>
      </c>
      <c r="K977" t="str" cm="1">
        <f t="array" ref="K9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7">
        <f>ROUND(calls[[#This Row],[Satisfaction Rating]],0)</f>
        <v>5</v>
      </c>
    </row>
    <row r="978" spans="2:12">
      <c r="B978" t="s">
        <v>1010</v>
      </c>
      <c r="C978" t="s">
        <v>23</v>
      </c>
      <c r="D978">
        <v>126</v>
      </c>
      <c r="E978" s="17" t="s">
        <v>11</v>
      </c>
      <c r="F978" s="18">
        <v>45277</v>
      </c>
      <c r="G978">
        <v>80</v>
      </c>
      <c r="H978">
        <v>4.7</v>
      </c>
      <c r="I978">
        <f>IF(MONTH(calls[[#This Row],[Date of Call]])&lt;=6, YEAR(calls[[#This Row],[Date of Call]]), YEAR(calls[[#This Row],[Date of Call]])+1)</f>
        <v>2024</v>
      </c>
      <c r="J978" t="str">
        <f>TEXT(calls[[#This Row],[Date of Call]],"DDDD")</f>
        <v>Sunday</v>
      </c>
      <c r="K978" t="str" cm="1">
        <f t="array" ref="K97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8">
        <f>ROUND(calls[[#This Row],[Satisfaction Rating]],0)</f>
        <v>5</v>
      </c>
    </row>
    <row r="979" spans="2:12">
      <c r="B979" t="s">
        <v>1011</v>
      </c>
      <c r="C979" t="s">
        <v>14</v>
      </c>
      <c r="D979">
        <v>32</v>
      </c>
      <c r="E979" s="17" t="s">
        <v>13</v>
      </c>
      <c r="F979" s="18">
        <v>45277</v>
      </c>
      <c r="G979">
        <v>148</v>
      </c>
      <c r="H979">
        <v>4</v>
      </c>
      <c r="I979">
        <f>IF(MONTH(calls[[#This Row],[Date of Call]])&lt;=6, YEAR(calls[[#This Row],[Date of Call]]), YEAR(calls[[#This Row],[Date of Call]])+1)</f>
        <v>2024</v>
      </c>
      <c r="J979" t="str">
        <f>TEXT(calls[[#This Row],[Date of Call]],"DDDD")</f>
        <v>Sunday</v>
      </c>
      <c r="K979" t="str" cm="1">
        <f t="array" ref="K97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79">
        <f>ROUND(calls[[#This Row],[Satisfaction Rating]],0)</f>
        <v>4</v>
      </c>
    </row>
    <row r="980" spans="2:12">
      <c r="B980" t="s">
        <v>1012</v>
      </c>
      <c r="C980" t="s">
        <v>23</v>
      </c>
      <c r="D980">
        <v>84</v>
      </c>
      <c r="E980" s="17" t="s">
        <v>6</v>
      </c>
      <c r="F980" s="18">
        <v>45279</v>
      </c>
      <c r="G980">
        <v>180</v>
      </c>
      <c r="H980">
        <v>4.9000000000000004</v>
      </c>
      <c r="I980">
        <f>IF(MONTH(calls[[#This Row],[Date of Call]])&lt;=6, YEAR(calls[[#This Row],[Date of Call]]), YEAR(calls[[#This Row],[Date of Call]])+1)</f>
        <v>2024</v>
      </c>
      <c r="J980" t="str">
        <f>TEXT(calls[[#This Row],[Date of Call]],"DDDD")</f>
        <v>Tuesday</v>
      </c>
      <c r="K980" t="str" cm="1">
        <f t="array" ref="K9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0">
        <f>ROUND(calls[[#This Row],[Satisfaction Rating]],0)</f>
        <v>5</v>
      </c>
    </row>
    <row r="981" spans="2:12">
      <c r="B981" t="s">
        <v>1013</v>
      </c>
      <c r="C981" t="s">
        <v>22</v>
      </c>
      <c r="D981">
        <v>120</v>
      </c>
      <c r="E981" s="17" t="s">
        <v>11</v>
      </c>
      <c r="F981" s="18">
        <v>45280</v>
      </c>
      <c r="G981">
        <v>190</v>
      </c>
      <c r="H981">
        <v>3.7</v>
      </c>
      <c r="I981">
        <f>IF(MONTH(calls[[#This Row],[Date of Call]])&lt;=6, YEAR(calls[[#This Row],[Date of Call]]), YEAR(calls[[#This Row],[Date of Call]])+1)</f>
        <v>2024</v>
      </c>
      <c r="J981" t="str">
        <f>TEXT(calls[[#This Row],[Date of Call]],"DDDD")</f>
        <v>Wednesday</v>
      </c>
      <c r="K981" t="str" cm="1">
        <f t="array" ref="K9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1">
        <f>ROUND(calls[[#This Row],[Satisfaction Rating]],0)</f>
        <v>4</v>
      </c>
    </row>
    <row r="982" spans="2:12">
      <c r="B982" t="s">
        <v>1014</v>
      </c>
      <c r="C982" t="s">
        <v>8</v>
      </c>
      <c r="D982">
        <v>93</v>
      </c>
      <c r="E982" s="17" t="s">
        <v>13</v>
      </c>
      <c r="F982" s="18">
        <v>45280</v>
      </c>
      <c r="G982">
        <v>38</v>
      </c>
      <c r="H982">
        <v>4.5</v>
      </c>
      <c r="I982">
        <f>IF(MONTH(calls[[#This Row],[Date of Call]])&lt;=6, YEAR(calls[[#This Row],[Date of Call]]), YEAR(calls[[#This Row],[Date of Call]])+1)</f>
        <v>2024</v>
      </c>
      <c r="J982" t="str">
        <f>TEXT(calls[[#This Row],[Date of Call]],"DDDD")</f>
        <v>Wednesday</v>
      </c>
      <c r="K982" t="str" cm="1">
        <f t="array" ref="K9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2">
        <f>ROUND(calls[[#This Row],[Satisfaction Rating]],0)</f>
        <v>5</v>
      </c>
    </row>
    <row r="983" spans="2:12">
      <c r="B983" t="s">
        <v>1015</v>
      </c>
      <c r="C983" t="s">
        <v>15</v>
      </c>
      <c r="D983">
        <v>76</v>
      </c>
      <c r="E983" s="17" t="s">
        <v>9</v>
      </c>
      <c r="F983" s="18">
        <v>45281</v>
      </c>
      <c r="G983">
        <v>82</v>
      </c>
      <c r="H983">
        <v>2.1</v>
      </c>
      <c r="I983">
        <f>IF(MONTH(calls[[#This Row],[Date of Call]])&lt;=6, YEAR(calls[[#This Row],[Date of Call]]), YEAR(calls[[#This Row],[Date of Call]])+1)</f>
        <v>2024</v>
      </c>
      <c r="J983" t="str">
        <f>TEXT(calls[[#This Row],[Date of Call]],"DDDD")</f>
        <v>Thursday</v>
      </c>
      <c r="K983" t="str" cm="1">
        <f t="array" ref="K9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3">
        <f>ROUND(calls[[#This Row],[Satisfaction Rating]],0)</f>
        <v>2</v>
      </c>
    </row>
    <row r="984" spans="2:12">
      <c r="B984" t="s">
        <v>1016</v>
      </c>
      <c r="C984" t="s">
        <v>5</v>
      </c>
      <c r="D984">
        <v>89</v>
      </c>
      <c r="E984" s="17" t="s">
        <v>13</v>
      </c>
      <c r="F984" s="18">
        <v>45284</v>
      </c>
      <c r="G984">
        <v>88</v>
      </c>
      <c r="H984">
        <v>2.8</v>
      </c>
      <c r="I984">
        <f>IF(MONTH(calls[[#This Row],[Date of Call]])&lt;=6, YEAR(calls[[#This Row],[Date of Call]]), YEAR(calls[[#This Row],[Date of Call]])+1)</f>
        <v>2024</v>
      </c>
      <c r="J984" t="str">
        <f>TEXT(calls[[#This Row],[Date of Call]],"DDDD")</f>
        <v>Sunday</v>
      </c>
      <c r="K984" t="str" cm="1">
        <f t="array" ref="K9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4">
        <f>ROUND(calls[[#This Row],[Satisfaction Rating]],0)</f>
        <v>3</v>
      </c>
    </row>
    <row r="985" spans="2:12">
      <c r="B985" t="s">
        <v>1017</v>
      </c>
      <c r="C985" t="s">
        <v>21</v>
      </c>
      <c r="D985">
        <v>91</v>
      </c>
      <c r="E985" s="17" t="s">
        <v>6</v>
      </c>
      <c r="F985" s="18">
        <v>45284</v>
      </c>
      <c r="G985">
        <v>42</v>
      </c>
      <c r="H985">
        <v>4.0999999999999996</v>
      </c>
      <c r="I985">
        <f>IF(MONTH(calls[[#This Row],[Date of Call]])&lt;=6, YEAR(calls[[#This Row],[Date of Call]]), YEAR(calls[[#This Row],[Date of Call]])+1)</f>
        <v>2024</v>
      </c>
      <c r="J985" t="str">
        <f>TEXT(calls[[#This Row],[Date of Call]],"DDDD")</f>
        <v>Sunday</v>
      </c>
      <c r="K985" t="str" cm="1">
        <f t="array" ref="K9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5">
        <f>ROUND(calls[[#This Row],[Satisfaction Rating]],0)</f>
        <v>4</v>
      </c>
    </row>
    <row r="986" spans="2:12">
      <c r="B986" t="s">
        <v>1018</v>
      </c>
      <c r="C986" t="s">
        <v>7</v>
      </c>
      <c r="D986">
        <v>7</v>
      </c>
      <c r="E986" s="17" t="s">
        <v>10</v>
      </c>
      <c r="F986" s="18">
        <v>45285</v>
      </c>
      <c r="G986">
        <v>64</v>
      </c>
      <c r="H986">
        <v>3.3</v>
      </c>
      <c r="I986">
        <f>IF(MONTH(calls[[#This Row],[Date of Call]])&lt;=6, YEAR(calls[[#This Row],[Date of Call]]), YEAR(calls[[#This Row],[Date of Call]])+1)</f>
        <v>2024</v>
      </c>
      <c r="J986" t="str">
        <f>TEXT(calls[[#This Row],[Date of Call]],"DDDD")</f>
        <v>Monday</v>
      </c>
      <c r="K986" t="str" cm="1">
        <f t="array" ref="K986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986">
        <f>ROUND(calls[[#This Row],[Satisfaction Rating]],0)</f>
        <v>3</v>
      </c>
    </row>
    <row r="987" spans="2:12">
      <c r="B987" t="s">
        <v>1019</v>
      </c>
      <c r="C987" t="s">
        <v>14</v>
      </c>
      <c r="D987">
        <v>140</v>
      </c>
      <c r="E987" s="17" t="s">
        <v>10</v>
      </c>
      <c r="F987" s="18">
        <v>45285</v>
      </c>
      <c r="G987">
        <v>105</v>
      </c>
      <c r="H987">
        <v>1.7</v>
      </c>
      <c r="I987">
        <f>IF(MONTH(calls[[#This Row],[Date of Call]])&lt;=6, YEAR(calls[[#This Row],[Date of Call]]), YEAR(calls[[#This Row],[Date of Call]])+1)</f>
        <v>2024</v>
      </c>
      <c r="J987" t="str">
        <f>TEXT(calls[[#This Row],[Date of Call]],"DDDD")</f>
        <v>Monday</v>
      </c>
      <c r="K987" t="str" cm="1">
        <f t="array" ref="K98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87">
        <f>ROUND(calls[[#This Row],[Satisfaction Rating]],0)</f>
        <v>2</v>
      </c>
    </row>
    <row r="988" spans="2:12">
      <c r="B988" t="s">
        <v>1020</v>
      </c>
      <c r="C988" t="s">
        <v>12</v>
      </c>
      <c r="D988">
        <v>58</v>
      </c>
      <c r="E988" s="17" t="s">
        <v>11</v>
      </c>
      <c r="F988" s="18">
        <v>45285</v>
      </c>
      <c r="G988">
        <v>25</v>
      </c>
      <c r="H988">
        <v>3.6</v>
      </c>
      <c r="I988">
        <f>IF(MONTH(calls[[#This Row],[Date of Call]])&lt;=6, YEAR(calls[[#This Row],[Date of Call]]), YEAR(calls[[#This Row],[Date of Call]])+1)</f>
        <v>2024</v>
      </c>
      <c r="J988" t="str">
        <f>TEXT(calls[[#This Row],[Date of Call]],"DDDD")</f>
        <v>Monday</v>
      </c>
      <c r="K988" t="str" cm="1">
        <f t="array" ref="K98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88">
        <f>ROUND(calls[[#This Row],[Satisfaction Rating]],0)</f>
        <v>4</v>
      </c>
    </row>
    <row r="989" spans="2:12">
      <c r="B989" t="s">
        <v>1021</v>
      </c>
      <c r="C989" t="s">
        <v>20</v>
      </c>
      <c r="D989">
        <v>90</v>
      </c>
      <c r="E989" s="17" t="s">
        <v>9</v>
      </c>
      <c r="F989" s="18">
        <v>45286</v>
      </c>
      <c r="G989">
        <v>176</v>
      </c>
      <c r="H989">
        <v>3.6</v>
      </c>
      <c r="I989">
        <f>IF(MONTH(calls[[#This Row],[Date of Call]])&lt;=6, YEAR(calls[[#This Row],[Date of Call]]), YEAR(calls[[#This Row],[Date of Call]])+1)</f>
        <v>2024</v>
      </c>
      <c r="J989" t="str">
        <f>TEXT(calls[[#This Row],[Date of Call]],"DDDD")</f>
        <v>Tuesday</v>
      </c>
      <c r="K989" t="str" cm="1">
        <f t="array" ref="K9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9">
        <f>ROUND(calls[[#This Row],[Satisfaction Rating]],0)</f>
        <v>4</v>
      </c>
    </row>
    <row r="990" spans="2:12">
      <c r="B990" t="s">
        <v>1022</v>
      </c>
      <c r="C990" t="s">
        <v>20</v>
      </c>
      <c r="D990">
        <v>106</v>
      </c>
      <c r="E990" s="17" t="s">
        <v>13</v>
      </c>
      <c r="F990" s="18">
        <v>45287</v>
      </c>
      <c r="G990">
        <v>46</v>
      </c>
      <c r="H990">
        <v>4.5999999999999996</v>
      </c>
      <c r="I990">
        <f>IF(MONTH(calls[[#This Row],[Date of Call]])&lt;=6, YEAR(calls[[#This Row],[Date of Call]]), YEAR(calls[[#This Row],[Date of Call]])+1)</f>
        <v>2024</v>
      </c>
      <c r="J990" t="str">
        <f>TEXT(calls[[#This Row],[Date of Call]],"DDDD")</f>
        <v>Wednesday</v>
      </c>
      <c r="K990" t="str" cm="1">
        <f t="array" ref="K9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0">
        <f>ROUND(calls[[#This Row],[Satisfaction Rating]],0)</f>
        <v>5</v>
      </c>
    </row>
    <row r="991" spans="2:12">
      <c r="B991" t="s">
        <v>1023</v>
      </c>
      <c r="C991" t="s">
        <v>22</v>
      </c>
      <c r="D991">
        <v>72</v>
      </c>
      <c r="E991" s="17" t="s">
        <v>10</v>
      </c>
      <c r="F991" s="18">
        <v>45287</v>
      </c>
      <c r="G991">
        <v>164</v>
      </c>
      <c r="H991">
        <v>4.8</v>
      </c>
      <c r="I991">
        <f>IF(MONTH(calls[[#This Row],[Date of Call]])&lt;=6, YEAR(calls[[#This Row],[Date of Call]]), YEAR(calls[[#This Row],[Date of Call]])+1)</f>
        <v>2024</v>
      </c>
      <c r="J991" t="str">
        <f>TEXT(calls[[#This Row],[Date of Call]],"DDDD")</f>
        <v>Wednesday</v>
      </c>
      <c r="K991" t="str" cm="1">
        <f t="array" ref="K9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1">
        <f>ROUND(calls[[#This Row],[Satisfaction Rating]],0)</f>
        <v>5</v>
      </c>
    </row>
    <row r="992" spans="2:12">
      <c r="B992" t="s">
        <v>1024</v>
      </c>
      <c r="C992" t="s">
        <v>7</v>
      </c>
      <c r="D992">
        <v>124</v>
      </c>
      <c r="E992" s="17" t="s">
        <v>10</v>
      </c>
      <c r="F992" s="18">
        <v>45288</v>
      </c>
      <c r="G992">
        <v>64</v>
      </c>
      <c r="H992">
        <v>4.5</v>
      </c>
      <c r="I992">
        <f>IF(MONTH(calls[[#This Row],[Date of Call]])&lt;=6, YEAR(calls[[#This Row],[Date of Call]]), YEAR(calls[[#This Row],[Date of Call]])+1)</f>
        <v>2024</v>
      </c>
      <c r="J992" t="str">
        <f>TEXT(calls[[#This Row],[Date of Call]],"DDDD")</f>
        <v>Thursday</v>
      </c>
      <c r="K992" t="str" cm="1">
        <f t="array" ref="K99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92">
        <f>ROUND(calls[[#This Row],[Satisfaction Rating]],0)</f>
        <v>5</v>
      </c>
    </row>
    <row r="993" spans="2:12">
      <c r="B993" t="s">
        <v>1025</v>
      </c>
      <c r="C993" t="s">
        <v>24</v>
      </c>
      <c r="D993">
        <v>86</v>
      </c>
      <c r="E993" s="17" t="s">
        <v>6</v>
      </c>
      <c r="F993" s="18">
        <v>45288</v>
      </c>
      <c r="G993">
        <v>205</v>
      </c>
      <c r="H993">
        <v>4.5</v>
      </c>
      <c r="I993">
        <f>IF(MONTH(calls[[#This Row],[Date of Call]])&lt;=6, YEAR(calls[[#This Row],[Date of Call]]), YEAR(calls[[#This Row],[Date of Call]])+1)</f>
        <v>2024</v>
      </c>
      <c r="J993" t="str">
        <f>TEXT(calls[[#This Row],[Date of Call]],"DDDD")</f>
        <v>Thursday</v>
      </c>
      <c r="K993" t="str" cm="1">
        <f t="array" ref="K9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3">
        <f>ROUND(calls[[#This Row],[Satisfaction Rating]],0)</f>
        <v>5</v>
      </c>
    </row>
    <row r="994" spans="2:12">
      <c r="B994" t="s">
        <v>1026</v>
      </c>
      <c r="C994" t="s">
        <v>23</v>
      </c>
      <c r="D994">
        <v>164</v>
      </c>
      <c r="E994" s="17" t="s">
        <v>6</v>
      </c>
      <c r="F994" s="18">
        <v>45289</v>
      </c>
      <c r="G994">
        <v>100</v>
      </c>
      <c r="H994">
        <v>4.5999999999999996</v>
      </c>
      <c r="I994">
        <f>IF(MONTH(calls[[#This Row],[Date of Call]])&lt;=6, YEAR(calls[[#This Row],[Date of Call]]), YEAR(calls[[#This Row],[Date of Call]])+1)</f>
        <v>2024</v>
      </c>
      <c r="J994" t="str">
        <f>TEXT(calls[[#This Row],[Date of Call]],"DDDD")</f>
        <v>Friday</v>
      </c>
      <c r="K994" t="str" cm="1">
        <f t="array" ref="K9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94">
        <f>ROUND(calls[[#This Row],[Satisfaction Rating]],0)</f>
        <v>5</v>
      </c>
    </row>
    <row r="995" spans="2:12">
      <c r="B995" t="s">
        <v>1027</v>
      </c>
      <c r="C995" t="s">
        <v>8</v>
      </c>
      <c r="D995">
        <v>40</v>
      </c>
      <c r="E995" s="17" t="s">
        <v>9</v>
      </c>
      <c r="F995" s="18">
        <v>45289</v>
      </c>
      <c r="G995">
        <v>111</v>
      </c>
      <c r="H995">
        <v>4.5999999999999996</v>
      </c>
      <c r="I995">
        <f>IF(MONTH(calls[[#This Row],[Date of Call]])&lt;=6, YEAR(calls[[#This Row],[Date of Call]]), YEAR(calls[[#This Row],[Date of Call]])+1)</f>
        <v>2024</v>
      </c>
      <c r="J995" t="str">
        <f>TEXT(calls[[#This Row],[Date of Call]],"DDDD")</f>
        <v>Friday</v>
      </c>
      <c r="K995" t="str" cm="1">
        <f t="array" ref="K9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95">
        <f>ROUND(calls[[#This Row],[Satisfaction Rating]],0)</f>
        <v>5</v>
      </c>
    </row>
    <row r="996" spans="2:12">
      <c r="B996" t="s">
        <v>1028</v>
      </c>
      <c r="C996" t="s">
        <v>21</v>
      </c>
      <c r="D996">
        <v>76</v>
      </c>
      <c r="E996" s="17" t="s">
        <v>11</v>
      </c>
      <c r="F996" s="18">
        <v>45289</v>
      </c>
      <c r="G996">
        <v>80</v>
      </c>
      <c r="H996">
        <v>3.5</v>
      </c>
      <c r="I996">
        <f>IF(MONTH(calls[[#This Row],[Date of Call]])&lt;=6, YEAR(calls[[#This Row],[Date of Call]]), YEAR(calls[[#This Row],[Date of Call]])+1)</f>
        <v>2024</v>
      </c>
      <c r="J996" t="str">
        <f>TEXT(calls[[#This Row],[Date of Call]],"DDDD")</f>
        <v>Friday</v>
      </c>
      <c r="K996" t="str" cm="1">
        <f t="array" ref="K9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6">
        <f>ROUND(calls[[#This Row],[Satisfaction Rating]],0)</f>
        <v>4</v>
      </c>
    </row>
    <row r="997" spans="2:12">
      <c r="B997" t="s">
        <v>1029</v>
      </c>
      <c r="C997" t="s">
        <v>7</v>
      </c>
      <c r="D997">
        <v>95</v>
      </c>
      <c r="E997" s="17" t="s">
        <v>13</v>
      </c>
      <c r="F997" s="18">
        <v>45289</v>
      </c>
      <c r="G997">
        <v>50</v>
      </c>
      <c r="H997">
        <v>2.9</v>
      </c>
      <c r="I997">
        <f>IF(MONTH(calls[[#This Row],[Date of Call]])&lt;=6, YEAR(calls[[#This Row],[Date of Call]]), YEAR(calls[[#This Row],[Date of Call]])+1)</f>
        <v>2024</v>
      </c>
      <c r="J997" t="str">
        <f>TEXT(calls[[#This Row],[Date of Call]],"DDDD")</f>
        <v>Friday</v>
      </c>
      <c r="K997" t="str" cm="1">
        <f t="array" ref="K9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7">
        <f>ROUND(calls[[#This Row],[Satisfaction Rating]],0)</f>
        <v>3</v>
      </c>
    </row>
    <row r="998" spans="2:12">
      <c r="B998" t="s">
        <v>1030</v>
      </c>
      <c r="C998" t="s">
        <v>21</v>
      </c>
      <c r="D998">
        <v>113</v>
      </c>
      <c r="E998" s="17" t="s">
        <v>10</v>
      </c>
      <c r="F998" s="18">
        <v>45290</v>
      </c>
      <c r="G998">
        <v>165</v>
      </c>
      <c r="H998">
        <v>4.7</v>
      </c>
      <c r="I998">
        <f>IF(MONTH(calls[[#This Row],[Date of Call]])&lt;=6, YEAR(calls[[#This Row],[Date of Call]]), YEAR(calls[[#This Row],[Date of Call]])+1)</f>
        <v>2024</v>
      </c>
      <c r="J998" t="str">
        <f>TEXT(calls[[#This Row],[Date of Call]],"DDDD")</f>
        <v>Saturday</v>
      </c>
      <c r="K998" t="str" cm="1">
        <f t="array" ref="K9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8">
        <f>ROUND(calls[[#This Row],[Satisfaction Rating]],0)</f>
        <v>5</v>
      </c>
    </row>
    <row r="999" spans="2:12">
      <c r="B999" t="s">
        <v>1031</v>
      </c>
      <c r="C999" t="s">
        <v>24</v>
      </c>
      <c r="D999">
        <v>81</v>
      </c>
      <c r="E999" s="17" t="s">
        <v>10</v>
      </c>
      <c r="F999" s="18">
        <v>45290</v>
      </c>
      <c r="G999">
        <v>28</v>
      </c>
      <c r="H999">
        <v>3.9</v>
      </c>
      <c r="I999">
        <f>IF(MONTH(calls[[#This Row],[Date of Call]])&lt;=6, YEAR(calls[[#This Row],[Date of Call]]), YEAR(calls[[#This Row],[Date of Call]])+1)</f>
        <v>2024</v>
      </c>
      <c r="J999" t="str">
        <f>TEXT(calls[[#This Row],[Date of Call]],"DDDD")</f>
        <v>Saturday</v>
      </c>
      <c r="K999" t="str" cm="1">
        <f t="array" ref="K9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9">
        <f>ROUND(calls[[#This Row],[Satisfaction Rating]],0)</f>
        <v>4</v>
      </c>
    </row>
    <row r="1000" spans="2:12">
      <c r="B1000" t="s">
        <v>1032</v>
      </c>
      <c r="C1000" t="s">
        <v>15</v>
      </c>
      <c r="D1000">
        <v>127</v>
      </c>
      <c r="E1000" s="17" t="s">
        <v>13</v>
      </c>
      <c r="F1000" s="18">
        <v>45290</v>
      </c>
      <c r="G1000">
        <v>215</v>
      </c>
      <c r="H1000">
        <v>3.8</v>
      </c>
      <c r="I1000">
        <f>IF(MONTH(calls[[#This Row],[Date of Call]])&lt;=6, YEAR(calls[[#This Row],[Date of Call]]), YEAR(calls[[#This Row],[Date of Call]])+1)</f>
        <v>2024</v>
      </c>
      <c r="J1000" t="str">
        <f>TEXT(calls[[#This Row],[Date of Call]],"DDDD")</f>
        <v>Saturday</v>
      </c>
      <c r="K1000" t="str" cm="1">
        <f t="array" ref="K100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00">
        <f>ROUND(calls[[#This Row],[Satisfaction Rating]],0)</f>
        <v>4</v>
      </c>
    </row>
    <row r="1001" spans="2:12">
      <c r="B1001" t="s">
        <v>1033</v>
      </c>
      <c r="C1001" t="s">
        <v>14</v>
      </c>
      <c r="D1001">
        <v>146</v>
      </c>
      <c r="E1001" s="17" t="s">
        <v>10</v>
      </c>
      <c r="F1001" s="18">
        <v>45291</v>
      </c>
      <c r="G1001">
        <v>115</v>
      </c>
      <c r="H1001">
        <v>2.2999999999999998</v>
      </c>
      <c r="I1001">
        <f>IF(MONTH(calls[[#This Row],[Date of Call]])&lt;=6, YEAR(calls[[#This Row],[Date of Call]]), YEAR(calls[[#This Row],[Date of Call]])+1)</f>
        <v>2024</v>
      </c>
      <c r="J1001" t="str">
        <f>TEXT(calls[[#This Row],[Date of Call]],"DDDD")</f>
        <v>Sunday</v>
      </c>
      <c r="K1001" t="str" cm="1">
        <f t="array" ref="K100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01">
        <f>ROUND(calls[[#This Row],[Satisfaction Rating]],0)</f>
        <v>2</v>
      </c>
    </row>
    <row r="1002" spans="2:12">
      <c r="B1002" t="s">
        <v>1034</v>
      </c>
      <c r="C1002" t="s">
        <v>18</v>
      </c>
      <c r="D1002">
        <v>123</v>
      </c>
      <c r="E1002" s="17" t="s">
        <v>10</v>
      </c>
      <c r="F1002" s="18">
        <v>45291</v>
      </c>
      <c r="G1002">
        <v>64</v>
      </c>
      <c r="H1002">
        <v>3.7</v>
      </c>
      <c r="I1002">
        <f>IF(MONTH(calls[[#This Row],[Date of Call]])&lt;=6, YEAR(calls[[#This Row],[Date of Call]]), YEAR(calls[[#This Row],[Date of Call]])+1)</f>
        <v>2024</v>
      </c>
      <c r="J1002" t="str">
        <f>TEXT(calls[[#This Row],[Date of Call]],"DDDD")</f>
        <v>Sunday</v>
      </c>
      <c r="K1002" t="str" cm="1">
        <f t="array" ref="K100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02">
        <f>ROUND(calls[[#This Row],[Satisfaction Rating]],0)</f>
        <v>4</v>
      </c>
    </row>
    <row r="1003" spans="2:12">
      <c r="B1003" t="s">
        <v>1035</v>
      </c>
      <c r="C1003" t="s">
        <v>22</v>
      </c>
      <c r="D1003">
        <v>114</v>
      </c>
      <c r="E1003" s="17" t="s">
        <v>11</v>
      </c>
      <c r="F1003" s="18">
        <v>45291</v>
      </c>
      <c r="G1003">
        <v>40</v>
      </c>
      <c r="H1003">
        <v>3.9</v>
      </c>
      <c r="I1003">
        <f>IF(MONTH(calls[[#This Row],[Date of Call]])&lt;=6, YEAR(calls[[#This Row],[Date of Call]]), YEAR(calls[[#This Row],[Date of Call]])+1)</f>
        <v>2024</v>
      </c>
      <c r="J1003" t="str">
        <f>TEXT(calls[[#This Row],[Date of Call]],"DDDD")</f>
        <v>Sunday</v>
      </c>
      <c r="K1003" t="str" cm="1">
        <f t="array" ref="K10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03">
        <f>ROUND(calls[[#This Row],[Satisfaction Rating]],0)</f>
        <v>4</v>
      </c>
    </row>
  </sheetData>
  <phoneticPr fontId="2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ankitha</cp:lastModifiedBy>
  <dcterms:created xsi:type="dcterms:W3CDTF">2021-03-14T20:21:32Z</dcterms:created>
  <dcterms:modified xsi:type="dcterms:W3CDTF">2026-04-06T08:47:56Z</dcterms:modified>
</cp:coreProperties>
</file>